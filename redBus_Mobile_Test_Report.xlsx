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port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<sst xmlns="http://schemas.openxmlformats.org/spreadsheetml/2006/main" count="870" uniqueCount="541">
  <si>
    <t>redBus MOBILE APPLICATION  -  FUNCTIONAL TEST REPORT</t>
  </si>
  <si>
    <t>Application: redBus (Mobile App / Mobile Web)     |     Scope: Login → Search → Seat → Payment → Ticket → Cancellation → Profile     |     Environment: QA     |     Prepared by: QA Team     |     EXECUTION STATUS: NOT EXECUTED – the "ITERATION 1: ACTUAL RESULT" column must be filled in by the tester during the actual run.</t>
  </si>
  <si>
    <t>S.NO</t>
  </si>
  <si>
    <t>MODULE</t>
  </si>
  <si>
    <t>SUB MODULE</t>
  </si>
  <si>
    <t>SUB MODULE 2</t>
  </si>
  <si>
    <t>FUTURE NO</t>
  </si>
  <si>
    <t>TAB/PAGE</t>
  </si>
  <si>
    <t>FIELDS</t>
  </si>
  <si>
    <t>FUTURES DESCRIPTION</t>
  </si>
  <si>
    <t>TEST CASE NO</t>
  </si>
  <si>
    <t>STEPS TO FOLLOW FOR TESTING</t>
  </si>
  <si>
    <t>EXPECTED RESULT</t>
  </si>
  <si>
    <t>TEST DATA</t>
  </si>
  <si>
    <t>BROWSR</t>
  </si>
  <si>
    <t>ITERATION 1: ACTUAL RESULT</t>
  </si>
  <si>
    <t>Authentication</t>
  </si>
  <si>
    <t>App Launch</t>
  </si>
  <si>
    <t>Splash Screen</t>
  </si>
  <si>
    <t>F-001</t>
  </si>
  <si>
    <t>Splash / Landing</t>
  </si>
  <si>
    <t>App icon, Splash logo, Sign-in link</t>
  </si>
  <si>
    <t>Verify the redBus mobile app launches and lands on the Home / Sign-in screen.</t>
  </si>
  <si>
    <t>TC_LNH_001</t>
  </si>
  <si>
    <t xml:space="preserve">1. Unlock the mobile device.
2. Tap the redBus app icon.
3. Observe the splash screen.
4. Wait for the landing screen to load.</t>
  </si>
  <si>
    <t>App launches within 5 seconds, the splash logo is displayed and the Home screen with the "Sign In" option is shown without a crash.</t>
  </si>
  <si>
    <t xml:space="preserve">App: redBus v22.x
Device: Pixel 7, Android 14</t>
  </si>
  <si>
    <t>redBus Android App v22.x / Android 14</t>
  </si>
  <si>
    <t>Not Executed</t>
  </si>
  <si>
    <t>Runtime Permissions</t>
  </si>
  <si>
    <t>Permission Pop-up</t>
  </si>
  <si>
    <t>Allow / Deny (Location, Notification)</t>
  </si>
  <si>
    <t>Verify runtime permission prompts are shown on first launch and the app still works after Deny.</t>
  </si>
  <si>
    <t>TC_LNH_002</t>
  </si>
  <si>
    <t xml:space="preserve">1. Freshly install the app.
2. Launch the app.
3. Observe the Location and Notification permission pop-ups.
4. Tap "Deny" on both.
5. Continue to the Home screen.</t>
  </si>
  <si>
    <t>Permission pop-ups appear on first launch only. On Deny the app does not crash and the Home screen loads with manual city entry available.</t>
  </si>
  <si>
    <t>Fresh install, no cached data</t>
  </si>
  <si>
    <t>Navigation to Login</t>
  </si>
  <si>
    <t>F-002</t>
  </si>
  <si>
    <t>Home &gt; Account</t>
  </si>
  <si>
    <t>Account icon, Sign In button</t>
  </si>
  <si>
    <t>Verify the user can navigate from the Home screen to the Login screen.</t>
  </si>
  <si>
    <t>TC_LNH_003</t>
  </si>
  <si>
    <t xml:space="preserve">1. Launch the app.
2. Tap the "Account" icon in the bottom navigation bar.
3. Tap the "Sign In / Sign Up" button.</t>
  </si>
  <si>
    <t>The Login screen is displayed with the Mobile Number field, the country-code selector and the "Continue" button.</t>
  </si>
  <si>
    <t>Guest (not logged-in) user</t>
  </si>
  <si>
    <t>Login</t>
  </si>
  <si>
    <t>UI Validation</t>
  </si>
  <si>
    <t>F-003</t>
  </si>
  <si>
    <t>Login Page</t>
  </si>
  <si>
    <t>Country code, Mobile Number, Continue, T&amp;C link</t>
  </si>
  <si>
    <t>Verify all UI elements on the Login page are displayed correctly on a mobile viewport.</t>
  </si>
  <si>
    <t>TC_LGN_001</t>
  </si>
  <si>
    <t xml:space="preserve">1. Open the Login page.
2. Verify that the redBus logo, page title, country-code dropdown, Mobile Number field, "Continue" button, Terms &amp; Conditions link and alternate login options are visible.
3. Rotate the device to landscape.</t>
  </si>
  <si>
    <t>All elements are visible, correctly aligned and not truncated, and the layout adjusts correctly in both portrait and landscape.</t>
  </si>
  <si>
    <t>N/A</t>
  </si>
  <si>
    <t>Chrome 126 / Android 14 (Pixel 7)</t>
  </si>
  <si>
    <t>Mobile Number - Field Validation</t>
  </si>
  <si>
    <t>Mobile Number</t>
  </si>
  <si>
    <t>Verify the Mobile Number field accepts numeric input only.</t>
  </si>
  <si>
    <t>TC_LGN_002</t>
  </si>
  <si>
    <t xml:space="preserve">1. Open the Login page.
2. Tap the Mobile Number field.
3. Verify that the numeric keypad opens.
4. Try to enter alphabets and special characters.</t>
  </si>
  <si>
    <t>The numeric keypad opens by default and alphabets / special characters are not accepted in the Mobile Number field.</t>
  </si>
  <si>
    <t>abcde , @#$%^</t>
  </si>
  <si>
    <t>Mobile Number - Boundary Value</t>
  </si>
  <si>
    <t>Mobile Number, Continue</t>
  </si>
  <si>
    <t>Verify validation for a mobile number with less than 10 digits.</t>
  </si>
  <si>
    <t>TC_LGN_003</t>
  </si>
  <si>
    <t xml:space="preserve">1. Open the Login page.
2. Enter a 9-digit mobile number.
3. Tap "Continue".</t>
  </si>
  <si>
    <t>The error message "Please enter a valid 10 digit mobile number" is displayed and no OTP is sent.</t>
  </si>
  <si>
    <t>987654321 (9 digits)</t>
  </si>
  <si>
    <t>Verify the field does not accept more than 10 digits.</t>
  </si>
  <si>
    <t>TC_LGN_004</t>
  </si>
  <si>
    <t xml:space="preserve">1. Open the Login page.
2. Try to enter an 11-digit mobile number.
3. Observe the field content.</t>
  </si>
  <si>
    <t>The field restricts input to a maximum of 10 digits; the 11th digit is not accepted.</t>
  </si>
  <si>
    <t>98765432101 (11 digits)</t>
  </si>
  <si>
    <t>Mobile Number - Negative</t>
  </si>
  <si>
    <t>Verify validation when the Mobile Number field is left blank.</t>
  </si>
  <si>
    <t>TC_LGN_005</t>
  </si>
  <si>
    <t xml:space="preserve">1. Open the Login page.
2. Leave the Mobile Number field blank.
3. Tap "Continue".</t>
  </si>
  <si>
    <t>The error message "Please enter your mobile number" is displayed and the user remains on the Login page.</t>
  </si>
  <si>
    <t>Blank</t>
  </si>
  <si>
    <t>Verify validation for an invalid number starting with 0.</t>
  </si>
  <si>
    <t>TC_LGN_006</t>
  </si>
  <si>
    <t xml:space="preserve">1. Open the Login page.
2. Enter a 10-digit number starting with 0.
3. Tap "Continue".</t>
  </si>
  <si>
    <t>The error message "Please enter a valid mobile number" is displayed and no OTP is triggered.</t>
  </si>
  <si>
    <t>0123456789</t>
  </si>
  <si>
    <t>Country Code - Positive</t>
  </si>
  <si>
    <t>F-004</t>
  </si>
  <si>
    <t>Country code dropdown, Mobile Number</t>
  </si>
  <si>
    <t>Verify the user can change the country code and log in with an international number.</t>
  </si>
  <si>
    <t>TC_LGN_007</t>
  </si>
  <si>
    <t xml:space="preserve">1. Open the Login page.
2. Tap the country-code dropdown.
3. Search for and select "Singapore (+65)".
4. Enter a valid Singapore mobile number.
5. Tap "Continue".</t>
  </si>
  <si>
    <t>The country code changes to +65, the digit-length validation updates to 8 digits and the OTP is sent to the international number.</t>
  </si>
  <si>
    <t>+65 81234567</t>
  </si>
  <si>
    <t>Mobile Number - Positive</t>
  </si>
  <si>
    <t>Verify the OTP is triggered for a valid registered mobile number.</t>
  </si>
  <si>
    <t>TC_LGN_008</t>
  </si>
  <si>
    <t xml:space="preserve">1. Open the Login page.
2. Enter a valid 10-digit registered mobile number.
3. Tap "Continue".</t>
  </si>
  <si>
    <t>The OTP Verification screen is displayed with the message "OTP sent to +91-98XXXXXX10" and an SMS containing the OTP is received.</t>
  </si>
  <si>
    <t>9876543210 (registered)</t>
  </si>
  <si>
    <t>Sign Up</t>
  </si>
  <si>
    <t>New User - Positive</t>
  </si>
  <si>
    <t>F-005</t>
  </si>
  <si>
    <t>Login Page &gt; Profile</t>
  </si>
  <si>
    <t>Mobile Number, Name, Email</t>
  </si>
  <si>
    <t>Verify a new (unregistered) mobile number is routed to the Sign-Up flow.</t>
  </si>
  <si>
    <t>TC_LGN_009</t>
  </si>
  <si>
    <t xml:space="preserve">1. Open the Login page.
2. Enter a valid unregistered 10-digit mobile number.
3. Tap "Continue".
4. Enter the received OTP.</t>
  </si>
  <si>
    <t>The OTP screen is shown and after verification the user is taken to the "Complete your profile" screen to enter Name and Email.</t>
  </si>
  <si>
    <t>9000000001 (new number)</t>
  </si>
  <si>
    <t>OTP Verification</t>
  </si>
  <si>
    <t>F-006</t>
  </si>
  <si>
    <t>OTP Page</t>
  </si>
  <si>
    <t>OTP boxes, Timer, Resend OTP, Change number</t>
  </si>
  <si>
    <t>Verify the OTP screen displays the masked number, the timer and the Resend option.</t>
  </si>
  <si>
    <t>TC_OTP_001</t>
  </si>
  <si>
    <t xml:space="preserve">1. Trigger an OTP from the Login page.
2. Observe the OTP screen.</t>
  </si>
  <si>
    <t>The masked mobile number, OTP input boxes, a countdown timer (e.g. 00:30), a disabled "Resend OTP" link and a "Change number" option are displayed.</t>
  </si>
  <si>
    <t>9876543210</t>
  </si>
  <si>
    <t>Auto Read - Positive</t>
  </si>
  <si>
    <t>OTP boxes</t>
  </si>
  <si>
    <t>Verify the OTP is auto-read from the SMS and auto-filled on Android.</t>
  </si>
  <si>
    <t>TC_OTP_002</t>
  </si>
  <si>
    <t xml:space="preserve">1. Trigger an OTP with SMS permission granted.
2. Wait for the SMS to arrive.
3. Observe the OTP boxes.</t>
  </si>
  <si>
    <t>The OTP is auto-detected from the SMS, auto-filled into the OTP boxes and the login is submitted automatically.</t>
  </si>
  <si>
    <t>Valid OTP from SMS</t>
  </si>
  <si>
    <t>Negative</t>
  </si>
  <si>
    <t>OTP boxes, Verify</t>
  </si>
  <si>
    <t>Verify the error message shown when an incorrect OTP is entered.</t>
  </si>
  <si>
    <t>TC_OTP_003</t>
  </si>
  <si>
    <t xml:space="preserve">1. Trigger an OTP.
2. Enter an incorrect OTP.
3. Tap "Verify".</t>
  </si>
  <si>
    <t>The error message "Incorrect OTP, please try again" is displayed, the OTP field is cleared and the user is not logged in.</t>
  </si>
  <si>
    <t>OTP: 000000</t>
  </si>
  <si>
    <t>Verify the behaviour when an expired OTP is used.</t>
  </si>
  <si>
    <t>TC_OTP_004</t>
  </si>
  <si>
    <t xml:space="preserve">1. Trigger an OTP.
2. Wait until the OTP validity expires (more than 10 minutes).
3. Enter the old OTP.
4. Tap "Verify".</t>
  </si>
  <si>
    <t>The error message "OTP expired. Please request a new OTP" is displayed and login is blocked.</t>
  </si>
  <si>
    <t>Expired OTP</t>
  </si>
  <si>
    <t>Security</t>
  </si>
  <si>
    <t>Verify further attempts are blocked after repeated invalid OTP entries.</t>
  </si>
  <si>
    <t>TC_OTP_005</t>
  </si>
  <si>
    <t xml:space="preserve">1. Trigger an OTP.
2. Enter an incorrect OTP 5 times consecutively.
3. Observe the response.</t>
  </si>
  <si>
    <t>After the configured attempt limit the app blocks further attempts with the message "Too many attempts, please try again later" and the OTP cannot be brute-forced.</t>
  </si>
  <si>
    <t>Wrong OTP x 5</t>
  </si>
  <si>
    <t>Resend OTP</t>
  </si>
  <si>
    <t>F-007</t>
  </si>
  <si>
    <t>Resend OTP link, Timer</t>
  </si>
  <si>
    <t>Verify the Resend OTP functionality and the timer behaviour.</t>
  </si>
  <si>
    <t>TC_OTP_006</t>
  </si>
  <si>
    <t xml:space="preserve">1. Trigger an OTP.
2. Wait for the timer to reach 00:00.
3. Tap "Resend OTP".
4. Check the SMS inbox.</t>
  </si>
  <si>
    <t>The "Resend OTP" link is enabled only after the timer expires, a new OTP SMS is received, the timer restarts and the previous OTP becomes invalid.</t>
  </si>
  <si>
    <t>Change Number</t>
  </si>
  <si>
    <t>Change number link</t>
  </si>
  <si>
    <t>Verify the user can go back and change the mobile number from the OTP screen.</t>
  </si>
  <si>
    <t>TC_OTP_007</t>
  </si>
  <si>
    <t xml:space="preserve">1. Trigger an OTP.
2. Tap "Change number".
3. Enter a different valid mobile number.
4. Tap "Continue".</t>
  </si>
  <si>
    <t>The user is returned to the Login page with the number editable and a fresh OTP is sent to the new number.</t>
  </si>
  <si>
    <t xml:space="preserve">Old: 9876543210
New: 9123456780</t>
  </si>
  <si>
    <t>Positive</t>
  </si>
  <si>
    <t>Verify successful login using a valid OTP.</t>
  </si>
  <si>
    <t>TC_OTP_008</t>
  </si>
  <si>
    <t xml:space="preserve">1. Trigger an OTP for a registered number.
2. Enter the valid OTP received.
3. Tap "Verify".</t>
  </si>
  <si>
    <t>The user is logged in successfully, is redirected to the Home screen and the registered name / number is shown under the Account tab.</t>
  </si>
  <si>
    <t>9876543210 + valid OTP</t>
  </si>
  <si>
    <t>Social Login</t>
  </si>
  <si>
    <t>Google - Positive</t>
  </si>
  <si>
    <t>F-008</t>
  </si>
  <si>
    <t>Continue with Google</t>
  </si>
  <si>
    <t>Verify login using a Google account.</t>
  </si>
  <si>
    <t>TC_SOC_001</t>
  </si>
  <si>
    <t xml:space="preserve">1. Open the Login page.
2. Tap "Continue with Google".
3. Select a Google account from the chooser.
4. Grant consent.</t>
  </si>
  <si>
    <t>The Google account chooser opens, the user is authenticated and is redirected to the Home screen in a logged-in state.</t>
  </si>
  <si>
    <t>testuser@gmail.com</t>
  </si>
  <si>
    <t>Session</t>
  </si>
  <si>
    <t>Persistence</t>
  </si>
  <si>
    <t>F-009</t>
  </si>
  <si>
    <t>Home / Account</t>
  </si>
  <si>
    <t>Logged-in session</t>
  </si>
  <si>
    <t>Verify the login session persists after the app is closed and reopened.</t>
  </si>
  <si>
    <t>TC_SES_001</t>
  </si>
  <si>
    <t xml:space="preserve">1. Log in successfully.
2. Kill the app from the recent-apps tray.
3. Relaunch the app.
4. Open the Account tab.</t>
  </si>
  <si>
    <t>The user remains logged in, the Login page is not shown again and the profile details are displayed.</t>
  </si>
  <si>
    <t>Registered user</t>
  </si>
  <si>
    <t>Logout</t>
  </si>
  <si>
    <t>F-010</t>
  </si>
  <si>
    <t>Account &gt; Settings</t>
  </si>
  <si>
    <t>Logout button, Confirm pop-up</t>
  </si>
  <si>
    <t>Verify the user can log out successfully.</t>
  </si>
  <si>
    <t>TC_LGT_001</t>
  </si>
  <si>
    <t xml:space="preserve">1. Log in to the app.
2. Go to Account &gt; Settings.
3. Tap "Logout".
4. Confirm in the pop-up.</t>
  </si>
  <si>
    <t>A confirmation pop-up is shown; on confirmation the session is cleared, the guest Home screen is displayed and My Bookings requires login again.</t>
  </si>
  <si>
    <t>Bus Booking</t>
  </si>
  <si>
    <t>Search</t>
  </si>
  <si>
    <t>From / To City</t>
  </si>
  <si>
    <t>F-011</t>
  </si>
  <si>
    <t>Home Page</t>
  </si>
  <si>
    <t>From, To, Date, Search buses</t>
  </si>
  <si>
    <t>Verify the city auto-suggestion in the "From" field.</t>
  </si>
  <si>
    <t>TC_SRC_001</t>
  </si>
  <si>
    <t xml:space="preserve">1. Log in and open the Home page.
2. Tap the "From" field.
3. Type "Ban".
4. Observe the suggestion list.</t>
  </si>
  <si>
    <t>A suggestion list is displayed with matching cities such as Bangalore and Bangalore Airport; selecting one populates the "From" field.</t>
  </si>
  <si>
    <t>From: Ban</t>
  </si>
  <si>
    <t>From, To, Search buses</t>
  </si>
  <si>
    <t>Verify validation when the source and destination cities are the same.</t>
  </si>
  <si>
    <t>TC_SRC_002</t>
  </si>
  <si>
    <t xml:space="preserve">1. Select "Bangalore" in the From field.
2. Select "Bangalore" in the To field.
3. Tap "Search buses".</t>
  </si>
  <si>
    <t>The error message "Source and destination cannot be the same" is displayed and the search is not performed.</t>
  </si>
  <si>
    <t xml:space="preserve">From: Bangalore
To: Bangalore</t>
  </si>
  <si>
    <t>Swap Cities</t>
  </si>
  <si>
    <t>Swap icon</t>
  </si>
  <si>
    <t>Verify the swap icon interchanges the source and the destination.</t>
  </si>
  <si>
    <t>TC_SRC_003</t>
  </si>
  <si>
    <t xml:space="preserve">1. Enter From = Chennai and To = Hyderabad.
2. Tap the swap icon between the two fields.</t>
  </si>
  <si>
    <t>The From field shows Hyderabad and the To field shows Chennai.</t>
  </si>
  <si>
    <t>Chennai / Hyderabad</t>
  </si>
  <si>
    <t>Date - Boundary</t>
  </si>
  <si>
    <t>F-012</t>
  </si>
  <si>
    <t>Date picker, Today, Tomorrow</t>
  </si>
  <si>
    <t>Verify a past date cannot be selected as the journey date.</t>
  </si>
  <si>
    <t>TC_SRC_004</t>
  </si>
  <si>
    <t xml:space="preserve">1. Tap the Date field on the Home page.
2. In the calendar, try to select yesterday’s date.</t>
  </si>
  <si>
    <t>Past dates are greyed out and non-selectable; only the current date and future dates within the allowed booking window can be chosen.</t>
  </si>
  <si>
    <t>Date: yesterday</t>
  </si>
  <si>
    <t>Verify the bus search returns results for a valid route and date.</t>
  </si>
  <si>
    <t>TC_SRC_005</t>
  </si>
  <si>
    <t xml:space="preserve">1. Enter From = Bangalore and To = Chennai.
2. Select tomorrow’s date.
3. Tap "Search buses".</t>
  </si>
  <si>
    <t>The Search Results page is displayed with the route, the date, the total bus count and a list of available buses.</t>
  </si>
  <si>
    <t xml:space="preserve">Bangalore &gt; Chennai
Date: D+1</t>
  </si>
  <si>
    <t>No Results</t>
  </si>
  <si>
    <t>Search Results</t>
  </si>
  <si>
    <t>Empty state message</t>
  </si>
  <si>
    <t>Verify the empty state when no buses are available for the selected route and date.</t>
  </si>
  <si>
    <t>TC_SRC_006</t>
  </si>
  <si>
    <t xml:space="preserve">1. Search for a route that has no operating service on the selected date.
2. Observe the results page.</t>
  </si>
  <si>
    <t>A meaningful empty-state message such as "No buses found" is shown together with alternate date suggestions; a blank screen is not displayed.</t>
  </si>
  <si>
    <t>Rare route, D+120</t>
  </si>
  <si>
    <t>Bus List</t>
  </si>
  <si>
    <t>F-013</t>
  </si>
  <si>
    <t>Operator, Time, Duration, Rating, Fare, Seats left</t>
  </si>
  <si>
    <t>Verify each bus card displays complete and correct information.</t>
  </si>
  <si>
    <t>TC_RES_001</t>
  </si>
  <si>
    <t xml:space="preserve">1. Perform a valid bus search.
2. Review the details shown on each bus card.</t>
  </si>
  <si>
    <t>Every card shows the operator name, bus type, departure and arrival time, duration, rating, starting fare and seats available, with no overlapping or truncated text.</t>
  </si>
  <si>
    <t>Bangalore &gt; Chennai, D+1</t>
  </si>
  <si>
    <t>Filter</t>
  </si>
  <si>
    <t>F-014</t>
  </si>
  <si>
    <t>Search Results &gt; Filter</t>
  </si>
  <si>
    <t>Bus type, Departure time, Amenities, Operator</t>
  </si>
  <si>
    <t>Verify the results are filtered correctly by departure time.</t>
  </si>
  <si>
    <t>TC_RES_002</t>
  </si>
  <si>
    <t xml:space="preserve">1. Open the Search Results page.
2. Tap "Filter".
3. Select the departure-time slot "6 PM - 12 AM".
4. Tap "Apply".</t>
  </si>
  <si>
    <t>Only buses departing between 6:00 PM and 11:59 PM are listed, the applied filter chip is visible and the result count is updated.</t>
  </si>
  <si>
    <t>Departure: 6PM-12AM</t>
  </si>
  <si>
    <t>Filter - Clear</t>
  </si>
  <si>
    <t>Clear all</t>
  </si>
  <si>
    <t>Verify clearing all filters restores the full result set.</t>
  </si>
  <si>
    <t>TC_RES_003</t>
  </si>
  <si>
    <t xml:space="preserve">1. Apply two or more filters.
2. Note the filtered result count.
3. Tap "Clear all".</t>
  </si>
  <si>
    <t>All filter chips are removed and the original unfiltered bus list with the full result count is restored.</t>
  </si>
  <si>
    <t>AC + Sleeper filters</t>
  </si>
  <si>
    <t>Sort</t>
  </si>
  <si>
    <t>F-015</t>
  </si>
  <si>
    <t>Sort by Price / Rating / Departure</t>
  </si>
  <si>
    <t>Verify sorting by "Price - Low to High".</t>
  </si>
  <si>
    <t>TC_RES_004</t>
  </si>
  <si>
    <t xml:space="preserve">1. Open the Search Results page.
2. Tap "Sort".
3. Select "Price - Low to High".</t>
  </si>
  <si>
    <t>The bus list is re-ordered in ascending order of fare and the first result has the lowest fare.</t>
  </si>
  <si>
    <t>Bangalore &gt; Chennai</t>
  </si>
  <si>
    <t>Seat Selection</t>
  </si>
  <si>
    <t>Seat Layout</t>
  </si>
  <si>
    <t>F-016</t>
  </si>
  <si>
    <t>Seat Layout Page</t>
  </si>
  <si>
    <t>Lower / Upper deck, Available, Booked, Ladies, Selected</t>
  </si>
  <si>
    <t>Verify the seat layout is displayed with the correct legend and seat states.</t>
  </si>
  <si>
    <t>TC_SET_001</t>
  </si>
  <si>
    <t xml:space="preserve">1. Select a bus from the results list.
2. Tap "View Seats".
3. Observe the seat layout and the legend.</t>
  </si>
  <si>
    <t>The seat layout opens with lower / upper deck tabs and a legend for Available, Booked, Ladies-only and Selected seats; booked seats are not clickable.</t>
  </si>
  <si>
    <t>Any AC Sleeper bus</t>
  </si>
  <si>
    <t>Seat, Fare summary</t>
  </si>
  <si>
    <t>Verify a seat can be selected and the fare summary is updated.</t>
  </si>
  <si>
    <t>TC_SET_002</t>
  </si>
  <si>
    <t xml:space="preserve">1. Open the seat layout.
2. Tap an available seat (for example L5).
3. Observe the fare summary at the bottom.</t>
  </si>
  <si>
    <t>The seat colour changes to the "Selected" state, the seat number appears in the summary and the total fare is updated including taxes.</t>
  </si>
  <si>
    <t>Seat: L5</t>
  </si>
  <si>
    <t>Boundary</t>
  </si>
  <si>
    <t>Seats, Continue</t>
  </si>
  <si>
    <t>Verify the maximum number of seats that can be selected in a single booking.</t>
  </si>
  <si>
    <t>TC_SET_003</t>
  </si>
  <si>
    <t xml:space="preserve">1. Open the seat layout.
2. Select seats one by one beyond the allowed limit (usually 6).</t>
  </si>
  <si>
    <t>Once the maximum limit is reached further selection is blocked with the message "You can book a maximum of 6 seats at a time".</t>
  </si>
  <si>
    <t>7 seats</t>
  </si>
  <si>
    <t>Continue button</t>
  </si>
  <si>
    <t>Verify the user cannot proceed without selecting a seat.</t>
  </si>
  <si>
    <t>TC_SET_004</t>
  </si>
  <si>
    <t xml:space="preserve">1. Open the seat layout.
2. Without selecting any seat, tap "Continue".</t>
  </si>
  <si>
    <t>The validation message "Please select at least one seat" is displayed and navigation to the next screen is blocked.</t>
  </si>
  <si>
    <t>No seat selected</t>
  </si>
  <si>
    <t>Boarding &amp; Dropping</t>
  </si>
  <si>
    <t>F-017</t>
  </si>
  <si>
    <t>Boarding / Dropping Page</t>
  </si>
  <si>
    <t>Boarding point, Dropping point, Time</t>
  </si>
  <si>
    <t>Verify the selection of boarding and dropping points.</t>
  </si>
  <si>
    <t>TC_BDP_001</t>
  </si>
  <si>
    <t xml:space="preserve">1. After selecting a seat, tap "Continue".
2. Select a boarding point from the list.
3. Select a dropping point.
4. Tap "Continue".</t>
  </si>
  <si>
    <t>Both points are selected together with their timing and landmark and the user proceeds to the Passenger Details page.</t>
  </si>
  <si>
    <t xml:space="preserve">BP: Madiwala
DP: Koyambedu</t>
  </si>
  <si>
    <t>Continue</t>
  </si>
  <si>
    <t>Verify validation when a dropping point is not selected.</t>
  </si>
  <si>
    <t>TC_BDP_002</t>
  </si>
  <si>
    <t xml:space="preserve">1. Select only the boarding point.
2. Tap "Continue".</t>
  </si>
  <si>
    <t>An error message prompting the user to select a dropping point is displayed and navigation is blocked.</t>
  </si>
  <si>
    <t>Boarding point only</t>
  </si>
  <si>
    <t>Passenger Details</t>
  </si>
  <si>
    <t>Field Validation</t>
  </si>
  <si>
    <t>F-018</t>
  </si>
  <si>
    <t>Name, Age, Gender, Email, Mobile</t>
  </si>
  <si>
    <t>Verify mandatory-field validation on the Passenger Details page.</t>
  </si>
  <si>
    <t>TC_PSD_001</t>
  </si>
  <si>
    <t xml:space="preserve">1. Reach the Passenger Details page.
2. Leave the Name field blank.
3. Tap "Proceed to pay".</t>
  </si>
  <si>
    <t>The inline error "Please enter passenger name" is shown against the Name field and the user is not taken to the payment page.</t>
  </si>
  <si>
    <t>Name: blank</t>
  </si>
  <si>
    <t>Field Validation - Boundary</t>
  </si>
  <si>
    <t>Age</t>
  </si>
  <si>
    <t>Verify the boundary validation on the Age field.</t>
  </si>
  <si>
    <t>TC_PSD_002</t>
  </si>
  <si>
    <t xml:space="preserve">1. Enter Age = 0 and tap "Proceed to pay".
2. Repeat with Age = 121.
3. Repeat with Age = 25.</t>
  </si>
  <si>
    <t>Ages 0 and 121 are rejected with a validation message; age 25 is accepted and the flow proceeds to payment.</t>
  </si>
  <si>
    <t>Age: 0 / 121 / 25</t>
  </si>
  <si>
    <t>Field Validation - Negative</t>
  </si>
  <si>
    <t>Email</t>
  </si>
  <si>
    <t>Verify the email format validation.</t>
  </si>
  <si>
    <t>TC_PSD_003</t>
  </si>
  <si>
    <t xml:space="preserve">1. Enter "testuser.gmail.com" in the Email field.
2. Tap "Proceed to pay".</t>
  </si>
  <si>
    <t>The error message "Please enter a valid email address" is displayed and the booking does not proceed.</t>
  </si>
  <si>
    <t>testuser.gmail.com</t>
  </si>
  <si>
    <t>Auto-fill</t>
  </si>
  <si>
    <t>Name, Email, Mobile</t>
  </si>
  <si>
    <t>Verify the contact details are auto-filled for a logged-in user.</t>
  </si>
  <si>
    <t>TC_PSD_004</t>
  </si>
  <si>
    <t xml:space="preserve">1. Log in with a registered account that has saved profile details.
2. Proceed to the Passenger Details page.</t>
  </si>
  <si>
    <t>The Email and Mobile Number fields are pre-filled from the logged-in profile and remain editable.</t>
  </si>
  <si>
    <t>Registered user profile</t>
  </si>
  <si>
    <t>Offers</t>
  </si>
  <si>
    <t>Coupon - Positive</t>
  </si>
  <si>
    <t>F-019</t>
  </si>
  <si>
    <t>Passenger Details &gt; Offers</t>
  </si>
  <si>
    <t>Coupon code, Apply</t>
  </si>
  <si>
    <t>Verify a valid coupon code is applied and the fare is reduced.</t>
  </si>
  <si>
    <t>TC_OFR_001</t>
  </si>
  <si>
    <t xml:space="preserve">1. On the Passenger Details page tap "Apply Coupon".
2. Enter a valid coupon code.
3. Tap "Apply".</t>
  </si>
  <si>
    <t>The coupon is applied, a success message is shown and the discount is deducted from the total in the fare breakup.</t>
  </si>
  <si>
    <t>Coupon: FIRST100</t>
  </si>
  <si>
    <t>Coupon - Negative</t>
  </si>
  <si>
    <t>Verify the error message for an invalid or expired coupon.</t>
  </si>
  <si>
    <t>TC_OFR_002</t>
  </si>
  <si>
    <t xml:space="preserve">1. Tap "Apply Coupon".
2. Enter an invalid coupon code.
3. Tap "Apply".</t>
  </si>
  <si>
    <t>The error message "Invalid coupon code" is displayed and the total fare remains unchanged.</t>
  </si>
  <si>
    <t>Coupon: XYZ999</t>
  </si>
  <si>
    <t>Payment</t>
  </si>
  <si>
    <t>Payment Options</t>
  </si>
  <si>
    <t>F-020</t>
  </si>
  <si>
    <t>Payment Page</t>
  </si>
  <si>
    <t>UPI, Card, Net Banking, Wallet, Fare summary</t>
  </si>
  <si>
    <t>Verify all payment options and the fare summary are displayed.</t>
  </si>
  <si>
    <t>TC_PAY_001</t>
  </si>
  <si>
    <t xml:space="preserve">1. Complete the passenger details and tap "Proceed to pay".
2. Observe the payment page.</t>
  </si>
  <si>
    <t>The payment page shows the fare breakup (base fare, taxes, discount, total) and all payment options: UPI, Debit / Credit Card, Net Banking and Wallets.</t>
  </si>
  <si>
    <t>Total fare: Rs.850</t>
  </si>
  <si>
    <t>Card Payment</t>
  </si>
  <si>
    <t>F-021</t>
  </si>
  <si>
    <t>Payment Page &gt; Card</t>
  </si>
  <si>
    <t>Card number, Expiry, CVV, Name on card</t>
  </si>
  <si>
    <t>Verify the validation for an invalid card number.</t>
  </si>
  <si>
    <t>TC_PAY_002</t>
  </si>
  <si>
    <t xml:space="preserve">1. Select "Credit / Debit Card".
2. Enter a 15-digit card number.
3. Enter a valid expiry date and CVV.
4. Tap "Pay".</t>
  </si>
  <si>
    <t>The error message "Please enter a valid card number" is displayed and the payment is not submitted.</t>
  </si>
  <si>
    <t>Card: 411111111111111</t>
  </si>
  <si>
    <t>Card number, CVV</t>
  </si>
  <si>
    <t>Verify sensitive card data is masked and is not retained in the UI.</t>
  </si>
  <si>
    <t>TC_PAY_003</t>
  </si>
  <si>
    <t xml:space="preserve">1. Enter the card details on the payment page.
2. Observe the CVV field while typing.
3. Navigate back and return to the payment page.</t>
  </si>
  <si>
    <t>The CVV is masked while typing, the card number is partially masked after entry and no full card number or CVV is retained on the screen after navigation.</t>
  </si>
  <si>
    <t>Sandbox test card</t>
  </si>
  <si>
    <t>UPI Payment</t>
  </si>
  <si>
    <t>F-022</t>
  </si>
  <si>
    <t>Payment Page &gt; UPI</t>
  </si>
  <si>
    <t>UPI ID, Verify, Pay</t>
  </si>
  <si>
    <t>Verify a successful booking using UPI payment.</t>
  </si>
  <si>
    <t>TC_PAY_004</t>
  </si>
  <si>
    <t xml:space="preserve">1. Select "UPI" on the payment page.
2. Enter a valid UPI ID and tap "Verify".
3. Tap "Pay Rs.850".
4. Approve the collect request in the UPI app.</t>
  </si>
  <si>
    <t>The payment succeeds, a processing state is shown and the app redirects to the Booking Confirmation page with a ticket (TIN) number.</t>
  </si>
  <si>
    <t xml:space="preserve">UPI: test@upi
Amount: Rs.850</t>
  </si>
  <si>
    <t>Payment Failure</t>
  </si>
  <si>
    <t>F-023</t>
  </si>
  <si>
    <t>Pay button, Retry</t>
  </si>
  <si>
    <t>Verify the app handles a failed or declined payment gracefully.</t>
  </si>
  <si>
    <t>TC_PAY_005</t>
  </si>
  <si>
    <t xml:space="preserve">1. Proceed to the payment page.
2. Use a card or UPI ID that will be declined.
3. Observe the response.</t>
  </si>
  <si>
    <t>A clear "Payment failed" message is shown with a Retry option, no ticket is generated and the seat is released or held according to the defined policy.</t>
  </si>
  <si>
    <t>Declined sandbox card</t>
  </si>
  <si>
    <t>Payment Timeout</t>
  </si>
  <si>
    <t>Network Failure</t>
  </si>
  <si>
    <t>Pay button</t>
  </si>
  <si>
    <t>Verify the behaviour when the network drops during payment.</t>
  </si>
  <si>
    <t>TC_PAY_006</t>
  </si>
  <si>
    <t xml:space="preserve">1. Start the payment.
2. Turn on Airplane mode while the payment is processing.
3. Turn the network back on and reopen the app.</t>
  </si>
  <si>
    <t>The app shows a "Payment status pending, please check My Bookings" message, no duplicate charge occurs and the final status is reconciled correctly.</t>
  </si>
  <si>
    <t>Airplane mode toggle</t>
  </si>
  <si>
    <t>Booking</t>
  </si>
  <si>
    <t>Confirmation</t>
  </si>
  <si>
    <t>Ticket Details</t>
  </si>
  <si>
    <t>F-024</t>
  </si>
  <si>
    <t>Booking Confirmation</t>
  </si>
  <si>
    <t>TIN, Bus details, Seat no, BP/DP, Fare</t>
  </si>
  <si>
    <t>Verify the booking confirmation page shows the correct ticket details.</t>
  </si>
  <si>
    <t>TC_CNF_001</t>
  </si>
  <si>
    <t xml:space="preserve">1. Complete a successful payment.
2. Review the confirmation page.</t>
  </si>
  <si>
    <t>The page displays the ticket number (TIN), operator, travel date, seat numbers, boarding and dropping points with times and the total amount paid, all matching the selections made.</t>
  </si>
  <si>
    <t>Booking of 1 seat</t>
  </si>
  <si>
    <t>Notification</t>
  </si>
  <si>
    <t>SMS / Email</t>
  </si>
  <si>
    <t>Ticket SMS, Ticket email</t>
  </si>
  <si>
    <t>Verify the ticket SMS and email are received after booking.</t>
  </si>
  <si>
    <t>TC_CNF_002</t>
  </si>
  <si>
    <t xml:space="preserve">1. Complete a successful booking.
2. Check the registered mobile inbox and the email inbox.</t>
  </si>
  <si>
    <t>A confirmation SMS and an email containing the ticket details and the TIN are received within 2 minutes of booking.</t>
  </si>
  <si>
    <t>Registered mobile &amp; email</t>
  </si>
  <si>
    <t>Download Ticket</t>
  </si>
  <si>
    <t>Download ticket</t>
  </si>
  <si>
    <t>Verify the ticket can be downloaded as a PDF on the mobile device.</t>
  </si>
  <si>
    <t>TC_CNF_003</t>
  </si>
  <si>
    <t xml:space="preserve">1. Open the confirmation page.
2. Tap "Download ticket".
3. Open the downloaded file from the device storage.</t>
  </si>
  <si>
    <t>The ticket PDF is downloaded to the device and opens with readable and correct booking details.</t>
  </si>
  <si>
    <t>TIN of the new booking</t>
  </si>
  <si>
    <t>My Bookings</t>
  </si>
  <si>
    <t>Booking List</t>
  </si>
  <si>
    <t>F-025</t>
  </si>
  <si>
    <t>Account &gt; My Bookings</t>
  </si>
  <si>
    <t>Upcoming, Completed, Cancelled tabs</t>
  </si>
  <si>
    <t>Verify the newly created booking appears under "Upcoming trips".</t>
  </si>
  <si>
    <t>TC_MYB_001</t>
  </si>
  <si>
    <t xml:space="preserve">1. Log in with the account used for booking.
2. Go to Account &gt; My Bookings.
3. Open the "Upcoming" tab.</t>
  </si>
  <si>
    <t>The new booking is listed with the correct route, date, operator and TIN, sorted by journey date.</t>
  </si>
  <si>
    <t>Registered user with 1 booking</t>
  </si>
  <si>
    <t>Cancellation</t>
  </si>
  <si>
    <t>F-026</t>
  </si>
  <si>
    <t>My Bookings &gt; Ticket</t>
  </si>
  <si>
    <t>Cancel ticket, Seat selection, Refund summary</t>
  </si>
  <si>
    <t>Verify a ticket can be cancelled and the refund amount is displayed.</t>
  </si>
  <si>
    <t>TC_CAN_001</t>
  </si>
  <si>
    <t xml:space="preserve">1. Open an upcoming booking.
2. Tap "Cancel ticket".
3. Select the seat(s) to cancel.
4. Review the refund breakup and confirm.</t>
  </si>
  <si>
    <t>The cancellation policy and refund amount are shown before confirmation; after confirming, the status changes to "Cancelled" and a refund confirmation SMS / email is sent.</t>
  </si>
  <si>
    <t>Upcoming booking TIN</t>
  </si>
  <si>
    <t>Cancel ticket</t>
  </si>
  <si>
    <t>Verify cancellation is blocked for a non-cancellable or already departed ticket.</t>
  </si>
  <si>
    <t>TC_CAN_002</t>
  </si>
  <si>
    <t xml:space="preserve">1. Open a completed or non-cancellable booking.
2. Look for the "Cancel ticket" option.</t>
  </si>
  <si>
    <t>The Cancel option is disabled or hidden and the message "This ticket cannot be cancelled" is shown, in line with the operator policy.</t>
  </si>
  <si>
    <t>Completed trip TIN</t>
  </si>
  <si>
    <t>Profile</t>
  </si>
  <si>
    <t>Edit Profile</t>
  </si>
  <si>
    <t>F-027</t>
  </si>
  <si>
    <t>Account &gt; Profile</t>
  </si>
  <si>
    <t>Name, Email, DOB, Gender, Save</t>
  </si>
  <si>
    <t>Verify the user can update and save profile details.</t>
  </si>
  <si>
    <t>TC_PRF_001</t>
  </si>
  <si>
    <t xml:space="preserve">1. Go to Account &gt; Profile.
2. Edit the Name and Email fields.
3. Tap "Save".
4. Reopen the profile.</t>
  </si>
  <si>
    <t>A success message is shown and the updated Name and Email persist after reopening the profile and after an app restart.</t>
  </si>
  <si>
    <t xml:space="preserve">Name: Test User
Email: testuser@gmail.com</t>
  </si>
  <si>
    <t>Non-Functional</t>
  </si>
  <si>
    <t>Performance</t>
  </si>
  <si>
    <t>Load Time</t>
  </si>
  <si>
    <t>F-028</t>
  </si>
  <si>
    <t>Page load, Loader</t>
  </si>
  <si>
    <t>Verify the search results load within the acceptable time on a 4G network.</t>
  </si>
  <si>
    <t>TC_NFR_001</t>
  </si>
  <si>
    <t xml:space="preserve">1. Connect the device to a 4G network.
2. Perform a bus search on a busy route.
3. Measure the time until the results are rendered.</t>
  </si>
  <si>
    <t>The search results are fully rendered within 5 seconds and a loader or skeleton screen is shown while loading.</t>
  </si>
  <si>
    <t>Bangalore &gt; Chennai on 4G</t>
  </si>
  <si>
    <t>Network</t>
  </si>
  <si>
    <t>Offline Handling</t>
  </si>
  <si>
    <t>F-029</t>
  </si>
  <si>
    <t>Any Page</t>
  </si>
  <si>
    <t>Offline banner, Retry</t>
  </si>
  <si>
    <t>Verify the app behaviour when there is no internet connection.</t>
  </si>
  <si>
    <t>TC_NFR_002</t>
  </si>
  <si>
    <t xml:space="preserve">1. Enable Airplane mode.
2. Perform a bus search.
3. Disable Airplane mode and retry.</t>
  </si>
  <si>
    <t>A "No internet connection" message with a Retry option is shown instead of a crash and the action succeeds once connectivity is restored.</t>
  </si>
  <si>
    <t>Airplane mode ON / OFF</t>
  </si>
  <si>
    <t>Usability</t>
  </si>
  <si>
    <t>Back Navigation</t>
  </si>
  <si>
    <t>F-030</t>
  </si>
  <si>
    <t>All Pages</t>
  </si>
  <si>
    <t>Device back button</t>
  </si>
  <si>
    <t>Verify the device back button navigates correctly through the booking flow.</t>
  </si>
  <si>
    <t>TC_NFR_003</t>
  </si>
  <si>
    <t xml:space="preserve">1. Navigate Home &gt; Search Results &gt; Seat Layout &gt; Passenger Details.
2. Press the device back button repeatedly.</t>
  </si>
  <si>
    <t>Each back press returns to the immediately previous screen with the earlier selections retained; the app does not exit unexpectedly or lose the search context.</t>
  </si>
  <si>
    <t>Full booking flow</t>
  </si>
  <si>
    <t>Compatibility</t>
  </si>
  <si>
    <t>Responsive Layout</t>
  </si>
  <si>
    <t>F-031</t>
  </si>
  <si>
    <t>Layout, Tap targets</t>
  </si>
  <si>
    <t>Verify the layout on a small-screen Android device and on iOS.</t>
  </si>
  <si>
    <t>TC_NFR_004</t>
  </si>
  <si>
    <t xml:space="preserve">1. Open the app / mobile site on a small-screen Android device.
2. Repeat the login and search flow on iOS Safari.
3. Check the alignment, font size and tap targets.</t>
  </si>
  <si>
    <t>The layout is responsive on all tested screen sizes with no horizontal scrolling, overlapping text or unreachable buttons.</t>
  </si>
  <si>
    <t xml:space="preserve">Android 320px width
iOS 17</t>
  </si>
  <si>
    <t>Safari 17 / iOS 17 (iPhone 13)</t>
  </si>
  <si>
    <t>Accessibility</t>
  </si>
  <si>
    <t>Screen Reader</t>
  </si>
  <si>
    <t>F-032</t>
  </si>
  <si>
    <t>Login / Home</t>
  </si>
  <si>
    <t>Labels, Focus order, Contrast</t>
  </si>
  <si>
    <t>Verify the key screens are usable with a screen reader.</t>
  </si>
  <si>
    <t>TC_NFR_005</t>
  </si>
  <si>
    <t xml:space="preserve">1. Enable TalkBack on Android.
2. Navigate the Login and Home screens.
3. Listen to the announced label for each control.</t>
  </si>
  <si>
    <t>All interactive elements have meaningful accessible labels, the focus order is logical and error messages are announced; colour is not the only indicator of an error.</t>
  </si>
  <si>
    <t>TalkBack enabled</t>
  </si>
  <si>
    <t>Session Handling</t>
  </si>
  <si>
    <t>F-033</t>
  </si>
  <si>
    <t>Account / My Bookings</t>
  </si>
  <si>
    <t>Session token, Cached data</t>
  </si>
  <si>
    <t>Verify protected pages cannot be accessed after logout.</t>
  </si>
  <si>
    <t>TC_NFR_006</t>
  </si>
  <si>
    <t xml:space="preserve">1. Log in and open My Bookings.
2. Log out.
3. Press the back button and re-open the My Bookings deep link.</t>
  </si>
  <si>
    <t>The user is redirected to the Login screen, cached booking data is not displayed and the previous session token is invalidated.</t>
  </si>
  <si>
    <t>TEST EXECUTION SUMMARY  -  ITERATION 1</t>
  </si>
  <si>
    <t>TOTAL TEST CASES</t>
  </si>
  <si>
    <t>ITERATION 1 RESULT</t>
  </si>
  <si>
    <t>TOTAL</t>
  </si>
  <si>
    <t/>
  </si>
  <si>
    <t>STATUS</t>
  </si>
  <si>
    <t>COUNT</t>
  </si>
  <si>
    <t>% OF TOTAL</t>
  </si>
  <si>
    <t>Pass</t>
  </si>
  <si>
    <t>Fail</t>
  </si>
  <si>
    <t>Blocked</t>
  </si>
  <si>
    <t>NOTE</t>
  </si>
  <si>
    <t>These test cases have NOT been executed. Every row in the "ITERATION 1: ACTUAL RESULT" column is pre-set to "Not Executed" and carries a Pass / Fail / Blocked / Not Executed dropdown for the tester to fill in during the real run. The counts above update automatically.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</si>
</sst>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sz val="10"/>
      <name val="Calibri"/>
    </font>
    <font>
      <b/>
      <color rgb="FFFFFFFF"/>
      <sz val="11"/>
      <name val="Calibri"/>
    </font>
    <font>
      <sz val="10"/>
      <name val="Calibri"/>
    </font>
    <font>
      <b/>
      <sz val="10"/>
      <name val="Calibri"/>
    </font>
    <font>
      <b/>
      <color rgb="FF808080"/>
      <sz val="10"/>
      <name val="Calibri"/>
    </font>
    <font>
      <b/>
      <color rgb="FFFFFFFF"/>
      <sz val="14"/>
    </font>
    <font>
      <b/>
      <color rgb="FFFFFFFF"/>
    </font>
    <font>
      <b/>
    </font>
    <font>
      <b/>
      <color rgb="FFC00000"/>
    </font>
  </fonts>
  <fills count="12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1F4E79"/>
      </patternFill>
    </fill>
    <fill>
      <patternFill patternType="solid">
        <fgColor rgb="FFEAF1F8"/>
      </patternFill>
    </fill>
    <fill>
      <patternFill patternType="solid">
        <fgColor rgb="FFF1F8EC"/>
      </patternFill>
    </fill>
    <fill>
      <patternFill patternType="solid">
        <fgColor rgb="FFFFF6E5"/>
      </patternFill>
    </fill>
    <fill>
      <patternFill patternType="solid">
        <fgColor rgb="FFF7EFF8"/>
      </patternFill>
    </fill>
    <fill>
      <patternFill patternType="solid">
        <fgColor rgb="FFEBF6F6"/>
      </patternFill>
    </fill>
    <fill>
      <patternFill patternType="solid">
        <fgColor rgb="FFFDF1F1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top" wrapText="1"/>
    </xf>
    <xf numFmtId="0" fontId="4" fillId="4" borderId="2" xfId="0" applyFont="1" applyFill="1" applyBorder="1" applyAlignment="1">
      <alignment horizontal="left" vertical="top" wrapText="1"/>
    </xf>
    <xf numFmtId="0" fontId="5" fillId="4" borderId="2" xfId="0" applyFont="1" applyFill="1" applyBorder="1" applyAlignment="1">
      <alignment horizontal="center" vertical="top" wrapText="1"/>
    </xf>
    <xf numFmtId="0" fontId="6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top" wrapText="1"/>
    </xf>
    <xf numFmtId="0" fontId="4" fillId="5" borderId="2" xfId="0" applyFont="1" applyFill="1" applyBorder="1" applyAlignment="1">
      <alignment horizontal="left" vertical="top" wrapText="1"/>
    </xf>
    <xf numFmtId="0" fontId="5" fillId="5" borderId="2" xfId="0" applyFont="1" applyFill="1" applyBorder="1" applyAlignment="1">
      <alignment horizontal="center" vertical="top" wrapText="1"/>
    </xf>
    <xf numFmtId="0" fontId="6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top" wrapText="1"/>
    </xf>
    <xf numFmtId="0" fontId="4" fillId="6" borderId="2" xfId="0" applyFont="1" applyFill="1" applyBorder="1" applyAlignment="1">
      <alignment horizontal="left" vertical="top" wrapText="1"/>
    </xf>
    <xf numFmtId="0" fontId="5" fillId="6" borderId="2" xfId="0" applyFont="1" applyFill="1" applyBorder="1" applyAlignment="1">
      <alignment horizontal="center" vertical="top" wrapText="1"/>
    </xf>
    <xf numFmtId="0" fontId="6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top" wrapText="1"/>
    </xf>
    <xf numFmtId="0" fontId="4" fillId="7" borderId="2" xfId="0" applyFont="1" applyFill="1" applyBorder="1" applyAlignment="1">
      <alignment horizontal="left" vertical="top" wrapText="1"/>
    </xf>
    <xf numFmtId="0" fontId="5" fillId="7" borderId="2" xfId="0" applyFont="1" applyFill="1" applyBorder="1" applyAlignment="1">
      <alignment horizontal="center" vertical="top" wrapText="1"/>
    </xf>
    <xf numFmtId="0" fontId="6" fillId="7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top" wrapText="1"/>
    </xf>
    <xf numFmtId="0" fontId="4" fillId="8" borderId="2" xfId="0" applyFont="1" applyFill="1" applyBorder="1" applyAlignment="1">
      <alignment horizontal="left" vertical="top" wrapText="1"/>
    </xf>
    <xf numFmtId="0" fontId="5" fillId="8" borderId="2" xfId="0" applyFont="1" applyFill="1" applyBorder="1" applyAlignment="1">
      <alignment horizontal="center" vertical="top" wrapText="1"/>
    </xf>
    <xf numFmtId="0" fontId="6" fillId="8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top" wrapText="1"/>
    </xf>
    <xf numFmtId="0" fontId="4" fillId="9" borderId="2" xfId="0" applyFont="1" applyFill="1" applyBorder="1" applyAlignment="1">
      <alignment horizontal="left" vertical="top" wrapText="1"/>
    </xf>
    <xf numFmtId="0" fontId="5" fillId="9" borderId="2" xfId="0" applyFont="1" applyFill="1" applyBorder="1" applyAlignment="1">
      <alignment horizontal="center" vertical="top" wrapText="1"/>
    </xf>
    <xf numFmtId="0" fontId="6" fillId="9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top" wrapText="1"/>
    </xf>
    <xf numFmtId="0" fontId="4" fillId="10" borderId="2" xfId="0" applyFont="1" applyFill="1" applyBorder="1" applyAlignment="1">
      <alignment horizontal="left" vertical="top" wrapText="1"/>
    </xf>
    <xf numFmtId="0" fontId="5" fillId="10" borderId="2" xfId="0" applyFont="1" applyFill="1" applyBorder="1" applyAlignment="1">
      <alignment horizontal="center" vertical="top" wrapText="1"/>
    </xf>
    <xf numFmtId="0" fontId="6" fillId="10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0" fontId="0" fillId="0" borderId="3" xfId="0" applyBorder="1"/>
    <xf numFmtId="0" fontId="9" fillId="11" borderId="1" xfId="0" applyFont="1" applyFill="1" applyBorder="1"/>
    <xf numFmtId="0" fontId="10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67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16" customWidth="1"/>
    <col min="3" max="3" width="20" customWidth="1"/>
    <col min="4" max="4" width="22" customWidth="1"/>
    <col min="5" max="5" width="10" customWidth="1"/>
    <col min="6" max="6" width="22" customWidth="1"/>
    <col min="7" max="7" width="26" customWidth="1"/>
    <col min="8" max="8" width="42" customWidth="1"/>
    <col min="9" max="9" width="14" customWidth="1"/>
    <col min="10" max="11" width="52" customWidth="1"/>
    <col min="12" max="13" width="22" customWidth="1"/>
    <col min="14" max="14" width="20" customWidth="1"/>
  </cols>
  <sheetData>
    <row r="1" ht="30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6" customHeight="1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44" customHeight="1" spans="1:14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spans="1:14" x14ac:dyDescent="0.25">
      <c r="A4" s="4">
        <v>1</v>
      </c>
      <c r="B4" s="5" t="s">
        <v>16</v>
      </c>
      <c r="C4" s="5" t="s">
        <v>17</v>
      </c>
      <c r="D4" s="5" t="s">
        <v>18</v>
      </c>
      <c r="E4" s="4" t="s">
        <v>19</v>
      </c>
      <c r="F4" s="5" t="s">
        <v>20</v>
      </c>
      <c r="G4" s="5" t="s">
        <v>21</v>
      </c>
      <c r="H4" s="5" t="s">
        <v>22</v>
      </c>
      <c r="I4" s="6" t="s">
        <v>23</v>
      </c>
      <c r="J4" s="5" t="s">
        <v>24</v>
      </c>
      <c r="K4" s="5" t="s">
        <v>25</v>
      </c>
      <c r="L4" s="5" t="s">
        <v>26</v>
      </c>
      <c r="M4" s="5" t="s">
        <v>27</v>
      </c>
      <c r="N4" s="7" t="s">
        <v>28</v>
      </c>
    </row>
    <row r="5" spans="1:14" x14ac:dyDescent="0.25">
      <c r="A5" s="4">
        <v>2</v>
      </c>
      <c r="B5" s="5" t="s">
        <v>16</v>
      </c>
      <c r="C5" s="5" t="s">
        <v>17</v>
      </c>
      <c r="D5" s="5" t="s">
        <v>29</v>
      </c>
      <c r="E5" s="4" t="s">
        <v>19</v>
      </c>
      <c r="F5" s="5" t="s">
        <v>30</v>
      </c>
      <c r="G5" s="5" t="s">
        <v>31</v>
      </c>
      <c r="H5" s="5" t="s">
        <v>32</v>
      </c>
      <c r="I5" s="6" t="s">
        <v>33</v>
      </c>
      <c r="J5" s="5" t="s">
        <v>34</v>
      </c>
      <c r="K5" s="5" t="s">
        <v>35</v>
      </c>
      <c r="L5" s="5" t="s">
        <v>36</v>
      </c>
      <c r="M5" s="5" t="s">
        <v>27</v>
      </c>
      <c r="N5" s="7" t="s">
        <v>28</v>
      </c>
    </row>
    <row r="6" spans="1:14" x14ac:dyDescent="0.25">
      <c r="A6" s="4">
        <v>3</v>
      </c>
      <c r="B6" s="5" t="s">
        <v>16</v>
      </c>
      <c r="C6" s="5" t="s">
        <v>17</v>
      </c>
      <c r="D6" s="5" t="s">
        <v>37</v>
      </c>
      <c r="E6" s="4" t="s">
        <v>38</v>
      </c>
      <c r="F6" s="5" t="s">
        <v>39</v>
      </c>
      <c r="G6" s="5" t="s">
        <v>40</v>
      </c>
      <c r="H6" s="5" t="s">
        <v>41</v>
      </c>
      <c r="I6" s="6" t="s">
        <v>42</v>
      </c>
      <c r="J6" s="5" t="s">
        <v>43</v>
      </c>
      <c r="K6" s="5" t="s">
        <v>44</v>
      </c>
      <c r="L6" s="5" t="s">
        <v>45</v>
      </c>
      <c r="M6" s="5" t="s">
        <v>27</v>
      </c>
      <c r="N6" s="7" t="s">
        <v>28</v>
      </c>
    </row>
    <row r="7" spans="1:14" x14ac:dyDescent="0.25">
      <c r="A7" s="4">
        <v>4</v>
      </c>
      <c r="B7" s="5" t="s">
        <v>16</v>
      </c>
      <c r="C7" s="5" t="s">
        <v>46</v>
      </c>
      <c r="D7" s="5" t="s">
        <v>47</v>
      </c>
      <c r="E7" s="4" t="s">
        <v>48</v>
      </c>
      <c r="F7" s="5" t="s">
        <v>49</v>
      </c>
      <c r="G7" s="5" t="s">
        <v>50</v>
      </c>
      <c r="H7" s="5" t="s">
        <v>51</v>
      </c>
      <c r="I7" s="6" t="s">
        <v>52</v>
      </c>
      <c r="J7" s="5" t="s">
        <v>53</v>
      </c>
      <c r="K7" s="5" t="s">
        <v>54</v>
      </c>
      <c r="L7" s="5" t="s">
        <v>55</v>
      </c>
      <c r="M7" s="5" t="s">
        <v>56</v>
      </c>
      <c r="N7" s="7" t="s">
        <v>28</v>
      </c>
    </row>
    <row r="8" spans="1:14" x14ac:dyDescent="0.25">
      <c r="A8" s="4">
        <v>5</v>
      </c>
      <c r="B8" s="5" t="s">
        <v>16</v>
      </c>
      <c r="C8" s="5" t="s">
        <v>46</v>
      </c>
      <c r="D8" s="5" t="s">
        <v>57</v>
      </c>
      <c r="E8" s="4" t="s">
        <v>48</v>
      </c>
      <c r="F8" s="5" t="s">
        <v>49</v>
      </c>
      <c r="G8" s="5" t="s">
        <v>58</v>
      </c>
      <c r="H8" s="5" t="s">
        <v>59</v>
      </c>
      <c r="I8" s="6" t="s">
        <v>60</v>
      </c>
      <c r="J8" s="5" t="s">
        <v>61</v>
      </c>
      <c r="K8" s="5" t="s">
        <v>62</v>
      </c>
      <c r="L8" s="5" t="s">
        <v>63</v>
      </c>
      <c r="M8" s="5" t="s">
        <v>56</v>
      </c>
      <c r="N8" s="7" t="s">
        <v>28</v>
      </c>
    </row>
    <row r="9" spans="1:14" x14ac:dyDescent="0.25">
      <c r="A9" s="4">
        <v>6</v>
      </c>
      <c r="B9" s="5" t="s">
        <v>16</v>
      </c>
      <c r="C9" s="5" t="s">
        <v>46</v>
      </c>
      <c r="D9" s="5" t="s">
        <v>64</v>
      </c>
      <c r="E9" s="4" t="s">
        <v>48</v>
      </c>
      <c r="F9" s="5" t="s">
        <v>49</v>
      </c>
      <c r="G9" s="5" t="s">
        <v>65</v>
      </c>
      <c r="H9" s="5" t="s">
        <v>66</v>
      </c>
      <c r="I9" s="6" t="s">
        <v>67</v>
      </c>
      <c r="J9" s="5" t="s">
        <v>68</v>
      </c>
      <c r="K9" s="5" t="s">
        <v>69</v>
      </c>
      <c r="L9" s="5" t="s">
        <v>70</v>
      </c>
      <c r="M9" s="5" t="s">
        <v>56</v>
      </c>
      <c r="N9" s="7" t="s">
        <v>28</v>
      </c>
    </row>
    <row r="10" spans="1:14" x14ac:dyDescent="0.25">
      <c r="A10" s="4">
        <v>7</v>
      </c>
      <c r="B10" s="5" t="s">
        <v>16</v>
      </c>
      <c r="C10" s="5" t="s">
        <v>46</v>
      </c>
      <c r="D10" s="5" t="s">
        <v>64</v>
      </c>
      <c r="E10" s="4" t="s">
        <v>48</v>
      </c>
      <c r="F10" s="5" t="s">
        <v>49</v>
      </c>
      <c r="G10" s="5" t="s">
        <v>58</v>
      </c>
      <c r="H10" s="5" t="s">
        <v>71</v>
      </c>
      <c r="I10" s="6" t="s">
        <v>72</v>
      </c>
      <c r="J10" s="5" t="s">
        <v>73</v>
      </c>
      <c r="K10" s="5" t="s">
        <v>74</v>
      </c>
      <c r="L10" s="5" t="s">
        <v>75</v>
      </c>
      <c r="M10" s="5" t="s">
        <v>56</v>
      </c>
      <c r="N10" s="7" t="s">
        <v>28</v>
      </c>
    </row>
    <row r="11" spans="1:14" x14ac:dyDescent="0.25">
      <c r="A11" s="4">
        <v>8</v>
      </c>
      <c r="B11" s="5" t="s">
        <v>16</v>
      </c>
      <c r="C11" s="5" t="s">
        <v>46</v>
      </c>
      <c r="D11" s="5" t="s">
        <v>76</v>
      </c>
      <c r="E11" s="4" t="s">
        <v>48</v>
      </c>
      <c r="F11" s="5" t="s">
        <v>49</v>
      </c>
      <c r="G11" s="5" t="s">
        <v>65</v>
      </c>
      <c r="H11" s="5" t="s">
        <v>77</v>
      </c>
      <c r="I11" s="6" t="s">
        <v>78</v>
      </c>
      <c r="J11" s="5" t="s">
        <v>79</v>
      </c>
      <c r="K11" s="5" t="s">
        <v>80</v>
      </c>
      <c r="L11" s="5" t="s">
        <v>81</v>
      </c>
      <c r="M11" s="5" t="s">
        <v>56</v>
      </c>
      <c r="N11" s="7" t="s">
        <v>28</v>
      </c>
    </row>
    <row r="12" spans="1:14" x14ac:dyDescent="0.25">
      <c r="A12" s="4">
        <v>9</v>
      </c>
      <c r="B12" s="5" t="s">
        <v>16</v>
      </c>
      <c r="C12" s="5" t="s">
        <v>46</v>
      </c>
      <c r="D12" s="5" t="s">
        <v>76</v>
      </c>
      <c r="E12" s="4" t="s">
        <v>48</v>
      </c>
      <c r="F12" s="5" t="s">
        <v>49</v>
      </c>
      <c r="G12" s="5" t="s">
        <v>65</v>
      </c>
      <c r="H12" s="5" t="s">
        <v>82</v>
      </c>
      <c r="I12" s="6" t="s">
        <v>83</v>
      </c>
      <c r="J12" s="5" t="s">
        <v>84</v>
      </c>
      <c r="K12" s="5" t="s">
        <v>85</v>
      </c>
      <c r="L12" s="5" t="s">
        <v>86</v>
      </c>
      <c r="M12" s="5" t="s">
        <v>56</v>
      </c>
      <c r="N12" s="7" t="s">
        <v>28</v>
      </c>
    </row>
    <row r="13" spans="1:14" x14ac:dyDescent="0.25">
      <c r="A13" s="4">
        <v>10</v>
      </c>
      <c r="B13" s="5" t="s">
        <v>16</v>
      </c>
      <c r="C13" s="5" t="s">
        <v>46</v>
      </c>
      <c r="D13" s="5" t="s">
        <v>87</v>
      </c>
      <c r="E13" s="4" t="s">
        <v>88</v>
      </c>
      <c r="F13" s="5" t="s">
        <v>49</v>
      </c>
      <c r="G13" s="5" t="s">
        <v>89</v>
      </c>
      <c r="H13" s="5" t="s">
        <v>90</v>
      </c>
      <c r="I13" s="6" t="s">
        <v>91</v>
      </c>
      <c r="J13" s="5" t="s">
        <v>92</v>
      </c>
      <c r="K13" s="5" t="s">
        <v>93</v>
      </c>
      <c r="L13" s="5" t="s">
        <v>94</v>
      </c>
      <c r="M13" s="5" t="s">
        <v>56</v>
      </c>
      <c r="N13" s="7" t="s">
        <v>28</v>
      </c>
    </row>
    <row r="14" spans="1:14" x14ac:dyDescent="0.25">
      <c r="A14" s="4">
        <v>11</v>
      </c>
      <c r="B14" s="5" t="s">
        <v>16</v>
      </c>
      <c r="C14" s="5" t="s">
        <v>46</v>
      </c>
      <c r="D14" s="5" t="s">
        <v>95</v>
      </c>
      <c r="E14" s="4" t="s">
        <v>48</v>
      </c>
      <c r="F14" s="5" t="s">
        <v>49</v>
      </c>
      <c r="G14" s="5" t="s">
        <v>65</v>
      </c>
      <c r="H14" s="5" t="s">
        <v>96</v>
      </c>
      <c r="I14" s="6" t="s">
        <v>97</v>
      </c>
      <c r="J14" s="5" t="s">
        <v>98</v>
      </c>
      <c r="K14" s="5" t="s">
        <v>99</v>
      </c>
      <c r="L14" s="5" t="s">
        <v>100</v>
      </c>
      <c r="M14" s="5" t="s">
        <v>56</v>
      </c>
      <c r="N14" s="7" t="s">
        <v>28</v>
      </c>
    </row>
    <row r="15" spans="1:14" x14ac:dyDescent="0.25">
      <c r="A15" s="4">
        <v>12</v>
      </c>
      <c r="B15" s="5" t="s">
        <v>16</v>
      </c>
      <c r="C15" s="5" t="s">
        <v>101</v>
      </c>
      <c r="D15" s="5" t="s">
        <v>102</v>
      </c>
      <c r="E15" s="4" t="s">
        <v>103</v>
      </c>
      <c r="F15" s="5" t="s">
        <v>104</v>
      </c>
      <c r="G15" s="5" t="s">
        <v>105</v>
      </c>
      <c r="H15" s="5" t="s">
        <v>106</v>
      </c>
      <c r="I15" s="6" t="s">
        <v>107</v>
      </c>
      <c r="J15" s="5" t="s">
        <v>108</v>
      </c>
      <c r="K15" s="5" t="s">
        <v>109</v>
      </c>
      <c r="L15" s="5" t="s">
        <v>110</v>
      </c>
      <c r="M15" s="5" t="s">
        <v>56</v>
      </c>
      <c r="N15" s="7" t="s">
        <v>28</v>
      </c>
    </row>
    <row r="16" spans="1:14" x14ac:dyDescent="0.25">
      <c r="A16" s="4">
        <v>13</v>
      </c>
      <c r="B16" s="5" t="s">
        <v>16</v>
      </c>
      <c r="C16" s="5" t="s">
        <v>111</v>
      </c>
      <c r="D16" s="5" t="s">
        <v>47</v>
      </c>
      <c r="E16" s="4" t="s">
        <v>112</v>
      </c>
      <c r="F16" s="5" t="s">
        <v>113</v>
      </c>
      <c r="G16" s="5" t="s">
        <v>114</v>
      </c>
      <c r="H16" s="5" t="s">
        <v>115</v>
      </c>
      <c r="I16" s="6" t="s">
        <v>116</v>
      </c>
      <c r="J16" s="5" t="s">
        <v>117</v>
      </c>
      <c r="K16" s="5" t="s">
        <v>118</v>
      </c>
      <c r="L16" s="5" t="s">
        <v>119</v>
      </c>
      <c r="M16" s="5" t="s">
        <v>56</v>
      </c>
      <c r="N16" s="7" t="s">
        <v>28</v>
      </c>
    </row>
    <row r="17" spans="1:14" x14ac:dyDescent="0.25">
      <c r="A17" s="4">
        <v>14</v>
      </c>
      <c r="B17" s="5" t="s">
        <v>16</v>
      </c>
      <c r="C17" s="5" t="s">
        <v>111</v>
      </c>
      <c r="D17" s="5" t="s">
        <v>120</v>
      </c>
      <c r="E17" s="4" t="s">
        <v>112</v>
      </c>
      <c r="F17" s="5" t="s">
        <v>113</v>
      </c>
      <c r="G17" s="5" t="s">
        <v>121</v>
      </c>
      <c r="H17" s="5" t="s">
        <v>122</v>
      </c>
      <c r="I17" s="6" t="s">
        <v>123</v>
      </c>
      <c r="J17" s="5" t="s">
        <v>124</v>
      </c>
      <c r="K17" s="5" t="s">
        <v>125</v>
      </c>
      <c r="L17" s="5" t="s">
        <v>126</v>
      </c>
      <c r="M17" s="5" t="s">
        <v>27</v>
      </c>
      <c r="N17" s="7" t="s">
        <v>28</v>
      </c>
    </row>
    <row r="18" spans="1:14" x14ac:dyDescent="0.25">
      <c r="A18" s="4">
        <v>15</v>
      </c>
      <c r="B18" s="5" t="s">
        <v>16</v>
      </c>
      <c r="C18" s="5" t="s">
        <v>111</v>
      </c>
      <c r="D18" s="5" t="s">
        <v>127</v>
      </c>
      <c r="E18" s="4" t="s">
        <v>112</v>
      </c>
      <c r="F18" s="5" t="s">
        <v>113</v>
      </c>
      <c r="G18" s="5" t="s">
        <v>128</v>
      </c>
      <c r="H18" s="5" t="s">
        <v>129</v>
      </c>
      <c r="I18" s="6" t="s">
        <v>130</v>
      </c>
      <c r="J18" s="5" t="s">
        <v>131</v>
      </c>
      <c r="K18" s="5" t="s">
        <v>132</v>
      </c>
      <c r="L18" s="5" t="s">
        <v>133</v>
      </c>
      <c r="M18" s="5" t="s">
        <v>56</v>
      </c>
      <c r="N18" s="7" t="s">
        <v>28</v>
      </c>
    </row>
    <row r="19" spans="1:14" x14ac:dyDescent="0.25">
      <c r="A19" s="4">
        <v>16</v>
      </c>
      <c r="B19" s="5" t="s">
        <v>16</v>
      </c>
      <c r="C19" s="5" t="s">
        <v>111</v>
      </c>
      <c r="D19" s="5" t="s">
        <v>127</v>
      </c>
      <c r="E19" s="4" t="s">
        <v>112</v>
      </c>
      <c r="F19" s="5" t="s">
        <v>113</v>
      </c>
      <c r="G19" s="5" t="s">
        <v>128</v>
      </c>
      <c r="H19" s="5" t="s">
        <v>134</v>
      </c>
      <c r="I19" s="6" t="s">
        <v>135</v>
      </c>
      <c r="J19" s="5" t="s">
        <v>136</v>
      </c>
      <c r="K19" s="5" t="s">
        <v>137</v>
      </c>
      <c r="L19" s="5" t="s">
        <v>138</v>
      </c>
      <c r="M19" s="5" t="s">
        <v>56</v>
      </c>
      <c r="N19" s="7" t="s">
        <v>28</v>
      </c>
    </row>
    <row r="20" spans="1:14" x14ac:dyDescent="0.25">
      <c r="A20" s="4">
        <v>17</v>
      </c>
      <c r="B20" s="5" t="s">
        <v>16</v>
      </c>
      <c r="C20" s="5" t="s">
        <v>111</v>
      </c>
      <c r="D20" s="5" t="s">
        <v>139</v>
      </c>
      <c r="E20" s="4" t="s">
        <v>112</v>
      </c>
      <c r="F20" s="5" t="s">
        <v>113</v>
      </c>
      <c r="G20" s="5" t="s">
        <v>128</v>
      </c>
      <c r="H20" s="5" t="s">
        <v>140</v>
      </c>
      <c r="I20" s="6" t="s">
        <v>141</v>
      </c>
      <c r="J20" s="5" t="s">
        <v>142</v>
      </c>
      <c r="K20" s="5" t="s">
        <v>143</v>
      </c>
      <c r="L20" s="5" t="s">
        <v>144</v>
      </c>
      <c r="M20" s="5" t="s">
        <v>56</v>
      </c>
      <c r="N20" s="7" t="s">
        <v>28</v>
      </c>
    </row>
    <row r="21" spans="1:14" x14ac:dyDescent="0.25">
      <c r="A21" s="4">
        <v>18</v>
      </c>
      <c r="B21" s="5" t="s">
        <v>16</v>
      </c>
      <c r="C21" s="5" t="s">
        <v>111</v>
      </c>
      <c r="D21" s="5" t="s">
        <v>145</v>
      </c>
      <c r="E21" s="4" t="s">
        <v>146</v>
      </c>
      <c r="F21" s="5" t="s">
        <v>113</v>
      </c>
      <c r="G21" s="5" t="s">
        <v>147</v>
      </c>
      <c r="H21" s="5" t="s">
        <v>148</v>
      </c>
      <c r="I21" s="6" t="s">
        <v>149</v>
      </c>
      <c r="J21" s="5" t="s">
        <v>150</v>
      </c>
      <c r="K21" s="5" t="s">
        <v>151</v>
      </c>
      <c r="L21" s="5" t="s">
        <v>119</v>
      </c>
      <c r="M21" s="5" t="s">
        <v>56</v>
      </c>
      <c r="N21" s="7" t="s">
        <v>28</v>
      </c>
    </row>
    <row r="22" spans="1:14" x14ac:dyDescent="0.25">
      <c r="A22" s="4">
        <v>19</v>
      </c>
      <c r="B22" s="5" t="s">
        <v>16</v>
      </c>
      <c r="C22" s="5" t="s">
        <v>111</v>
      </c>
      <c r="D22" s="5" t="s">
        <v>152</v>
      </c>
      <c r="E22" s="4" t="s">
        <v>146</v>
      </c>
      <c r="F22" s="5" t="s">
        <v>113</v>
      </c>
      <c r="G22" s="5" t="s">
        <v>153</v>
      </c>
      <c r="H22" s="5" t="s">
        <v>154</v>
      </c>
      <c r="I22" s="6" t="s">
        <v>155</v>
      </c>
      <c r="J22" s="5" t="s">
        <v>156</v>
      </c>
      <c r="K22" s="5" t="s">
        <v>157</v>
      </c>
      <c r="L22" s="5" t="s">
        <v>158</v>
      </c>
      <c r="M22" s="5" t="s">
        <v>56</v>
      </c>
      <c r="N22" s="7" t="s">
        <v>28</v>
      </c>
    </row>
    <row r="23" spans="1:14" x14ac:dyDescent="0.25">
      <c r="A23" s="4">
        <v>20</v>
      </c>
      <c r="B23" s="5" t="s">
        <v>16</v>
      </c>
      <c r="C23" s="5" t="s">
        <v>111</v>
      </c>
      <c r="D23" s="5" t="s">
        <v>159</v>
      </c>
      <c r="E23" s="4" t="s">
        <v>112</v>
      </c>
      <c r="F23" s="5" t="s">
        <v>113</v>
      </c>
      <c r="G23" s="5" t="s">
        <v>128</v>
      </c>
      <c r="H23" s="5" t="s">
        <v>160</v>
      </c>
      <c r="I23" s="6" t="s">
        <v>161</v>
      </c>
      <c r="J23" s="5" t="s">
        <v>162</v>
      </c>
      <c r="K23" s="5" t="s">
        <v>163</v>
      </c>
      <c r="L23" s="5" t="s">
        <v>164</v>
      </c>
      <c r="M23" s="5" t="s">
        <v>56</v>
      </c>
      <c r="N23" s="7" t="s">
        <v>28</v>
      </c>
    </row>
    <row r="24" spans="1:14" x14ac:dyDescent="0.25">
      <c r="A24" s="4">
        <v>21</v>
      </c>
      <c r="B24" s="5" t="s">
        <v>16</v>
      </c>
      <c r="C24" s="5" t="s">
        <v>165</v>
      </c>
      <c r="D24" s="5" t="s">
        <v>166</v>
      </c>
      <c r="E24" s="4" t="s">
        <v>167</v>
      </c>
      <c r="F24" s="5" t="s">
        <v>49</v>
      </c>
      <c r="G24" s="5" t="s">
        <v>168</v>
      </c>
      <c r="H24" s="5" t="s">
        <v>169</v>
      </c>
      <c r="I24" s="6" t="s">
        <v>170</v>
      </c>
      <c r="J24" s="5" t="s">
        <v>171</v>
      </c>
      <c r="K24" s="5" t="s">
        <v>172</v>
      </c>
      <c r="L24" s="5" t="s">
        <v>173</v>
      </c>
      <c r="M24" s="5" t="s">
        <v>27</v>
      </c>
      <c r="N24" s="7" t="s">
        <v>28</v>
      </c>
    </row>
    <row r="25" spans="1:14" x14ac:dyDescent="0.25">
      <c r="A25" s="4">
        <v>22</v>
      </c>
      <c r="B25" s="5" t="s">
        <v>16</v>
      </c>
      <c r="C25" s="5" t="s">
        <v>174</v>
      </c>
      <c r="D25" s="5" t="s">
        <v>175</v>
      </c>
      <c r="E25" s="4" t="s">
        <v>176</v>
      </c>
      <c r="F25" s="5" t="s">
        <v>177</v>
      </c>
      <c r="G25" s="5" t="s">
        <v>178</v>
      </c>
      <c r="H25" s="5" t="s">
        <v>179</v>
      </c>
      <c r="I25" s="6" t="s">
        <v>180</v>
      </c>
      <c r="J25" s="5" t="s">
        <v>181</v>
      </c>
      <c r="K25" s="5" t="s">
        <v>182</v>
      </c>
      <c r="L25" s="5" t="s">
        <v>183</v>
      </c>
      <c r="M25" s="5" t="s">
        <v>27</v>
      </c>
      <c r="N25" s="7" t="s">
        <v>28</v>
      </c>
    </row>
    <row r="26" spans="1:14" x14ac:dyDescent="0.25">
      <c r="A26" s="4">
        <v>23</v>
      </c>
      <c r="B26" s="5" t="s">
        <v>16</v>
      </c>
      <c r="C26" s="5" t="s">
        <v>184</v>
      </c>
      <c r="D26" s="5" t="s">
        <v>159</v>
      </c>
      <c r="E26" s="4" t="s">
        <v>185</v>
      </c>
      <c r="F26" s="5" t="s">
        <v>186</v>
      </c>
      <c r="G26" s="5" t="s">
        <v>187</v>
      </c>
      <c r="H26" s="5" t="s">
        <v>188</v>
      </c>
      <c r="I26" s="6" t="s">
        <v>189</v>
      </c>
      <c r="J26" s="5" t="s">
        <v>190</v>
      </c>
      <c r="K26" s="5" t="s">
        <v>191</v>
      </c>
      <c r="L26" s="5" t="s">
        <v>183</v>
      </c>
      <c r="M26" s="5" t="s">
        <v>27</v>
      </c>
      <c r="N26" s="7" t="s">
        <v>28</v>
      </c>
    </row>
    <row r="27" spans="1:14" x14ac:dyDescent="0.25">
      <c r="A27" s="8">
        <v>24</v>
      </c>
      <c r="B27" s="9" t="s">
        <v>192</v>
      </c>
      <c r="C27" s="9" t="s">
        <v>193</v>
      </c>
      <c r="D27" s="9" t="s">
        <v>194</v>
      </c>
      <c r="E27" s="8" t="s">
        <v>195</v>
      </c>
      <c r="F27" s="9" t="s">
        <v>196</v>
      </c>
      <c r="G27" s="9" t="s">
        <v>197</v>
      </c>
      <c r="H27" s="9" t="s">
        <v>198</v>
      </c>
      <c r="I27" s="10" t="s">
        <v>199</v>
      </c>
      <c r="J27" s="9" t="s">
        <v>200</v>
      </c>
      <c r="K27" s="9" t="s">
        <v>201</v>
      </c>
      <c r="L27" s="9" t="s">
        <v>202</v>
      </c>
      <c r="M27" s="9" t="s">
        <v>56</v>
      </c>
      <c r="N27" s="11" t="s">
        <v>28</v>
      </c>
    </row>
    <row r="28" spans="1:14" x14ac:dyDescent="0.25">
      <c r="A28" s="8">
        <v>25</v>
      </c>
      <c r="B28" s="9" t="s">
        <v>192</v>
      </c>
      <c r="C28" s="9" t="s">
        <v>193</v>
      </c>
      <c r="D28" s="9" t="s">
        <v>127</v>
      </c>
      <c r="E28" s="8" t="s">
        <v>195</v>
      </c>
      <c r="F28" s="9" t="s">
        <v>196</v>
      </c>
      <c r="G28" s="9" t="s">
        <v>203</v>
      </c>
      <c r="H28" s="9" t="s">
        <v>204</v>
      </c>
      <c r="I28" s="10" t="s">
        <v>205</v>
      </c>
      <c r="J28" s="9" t="s">
        <v>206</v>
      </c>
      <c r="K28" s="9" t="s">
        <v>207</v>
      </c>
      <c r="L28" s="9" t="s">
        <v>208</v>
      </c>
      <c r="M28" s="9" t="s">
        <v>56</v>
      </c>
      <c r="N28" s="11" t="s">
        <v>28</v>
      </c>
    </row>
    <row r="29" spans="1:14" x14ac:dyDescent="0.25">
      <c r="A29" s="8">
        <v>26</v>
      </c>
      <c r="B29" s="9" t="s">
        <v>192</v>
      </c>
      <c r="C29" s="9" t="s">
        <v>193</v>
      </c>
      <c r="D29" s="9" t="s">
        <v>209</v>
      </c>
      <c r="E29" s="8" t="s">
        <v>195</v>
      </c>
      <c r="F29" s="9" t="s">
        <v>196</v>
      </c>
      <c r="G29" s="9" t="s">
        <v>210</v>
      </c>
      <c r="H29" s="9" t="s">
        <v>211</v>
      </c>
      <c r="I29" s="10" t="s">
        <v>212</v>
      </c>
      <c r="J29" s="9" t="s">
        <v>213</v>
      </c>
      <c r="K29" s="9" t="s">
        <v>214</v>
      </c>
      <c r="L29" s="9" t="s">
        <v>215</v>
      </c>
      <c r="M29" s="9" t="s">
        <v>56</v>
      </c>
      <c r="N29" s="11" t="s">
        <v>28</v>
      </c>
    </row>
    <row r="30" spans="1:14" x14ac:dyDescent="0.25">
      <c r="A30" s="8">
        <v>27</v>
      </c>
      <c r="B30" s="9" t="s">
        <v>192</v>
      </c>
      <c r="C30" s="9" t="s">
        <v>193</v>
      </c>
      <c r="D30" s="9" t="s">
        <v>216</v>
      </c>
      <c r="E30" s="8" t="s">
        <v>217</v>
      </c>
      <c r="F30" s="9" t="s">
        <v>196</v>
      </c>
      <c r="G30" s="9" t="s">
        <v>218</v>
      </c>
      <c r="H30" s="9" t="s">
        <v>219</v>
      </c>
      <c r="I30" s="10" t="s">
        <v>220</v>
      </c>
      <c r="J30" s="9" t="s">
        <v>221</v>
      </c>
      <c r="K30" s="9" t="s">
        <v>222</v>
      </c>
      <c r="L30" s="9" t="s">
        <v>223</v>
      </c>
      <c r="M30" s="9" t="s">
        <v>56</v>
      </c>
      <c r="N30" s="11" t="s">
        <v>28</v>
      </c>
    </row>
    <row r="31" spans="1:14" x14ac:dyDescent="0.25">
      <c r="A31" s="8">
        <v>28</v>
      </c>
      <c r="B31" s="9" t="s">
        <v>192</v>
      </c>
      <c r="C31" s="9" t="s">
        <v>193</v>
      </c>
      <c r="D31" s="9" t="s">
        <v>159</v>
      </c>
      <c r="E31" s="8" t="s">
        <v>217</v>
      </c>
      <c r="F31" s="9" t="s">
        <v>196</v>
      </c>
      <c r="G31" s="9" t="s">
        <v>197</v>
      </c>
      <c r="H31" s="9" t="s">
        <v>224</v>
      </c>
      <c r="I31" s="10" t="s">
        <v>225</v>
      </c>
      <c r="J31" s="9" t="s">
        <v>226</v>
      </c>
      <c r="K31" s="9" t="s">
        <v>227</v>
      </c>
      <c r="L31" s="9" t="s">
        <v>228</v>
      </c>
      <c r="M31" s="9" t="s">
        <v>56</v>
      </c>
      <c r="N31" s="11" t="s">
        <v>28</v>
      </c>
    </row>
    <row r="32" spans="1:14" x14ac:dyDescent="0.25">
      <c r="A32" s="8">
        <v>29</v>
      </c>
      <c r="B32" s="9" t="s">
        <v>192</v>
      </c>
      <c r="C32" s="9" t="s">
        <v>193</v>
      </c>
      <c r="D32" s="9" t="s">
        <v>229</v>
      </c>
      <c r="E32" s="8" t="s">
        <v>217</v>
      </c>
      <c r="F32" s="9" t="s">
        <v>230</v>
      </c>
      <c r="G32" s="9" t="s">
        <v>231</v>
      </c>
      <c r="H32" s="9" t="s">
        <v>232</v>
      </c>
      <c r="I32" s="10" t="s">
        <v>233</v>
      </c>
      <c r="J32" s="9" t="s">
        <v>234</v>
      </c>
      <c r="K32" s="9" t="s">
        <v>235</v>
      </c>
      <c r="L32" s="9" t="s">
        <v>236</v>
      </c>
      <c r="M32" s="9" t="s">
        <v>56</v>
      </c>
      <c r="N32" s="11" t="s">
        <v>28</v>
      </c>
    </row>
    <row r="33" spans="1:14" x14ac:dyDescent="0.25">
      <c r="A33" s="8">
        <v>30</v>
      </c>
      <c r="B33" s="9" t="s">
        <v>192</v>
      </c>
      <c r="C33" s="9" t="s">
        <v>230</v>
      </c>
      <c r="D33" s="9" t="s">
        <v>237</v>
      </c>
      <c r="E33" s="8" t="s">
        <v>238</v>
      </c>
      <c r="F33" s="9" t="s">
        <v>230</v>
      </c>
      <c r="G33" s="9" t="s">
        <v>239</v>
      </c>
      <c r="H33" s="9" t="s">
        <v>240</v>
      </c>
      <c r="I33" s="10" t="s">
        <v>241</v>
      </c>
      <c r="J33" s="9" t="s">
        <v>242</v>
      </c>
      <c r="K33" s="9" t="s">
        <v>243</v>
      </c>
      <c r="L33" s="9" t="s">
        <v>244</v>
      </c>
      <c r="M33" s="9" t="s">
        <v>56</v>
      </c>
      <c r="N33" s="11" t="s">
        <v>28</v>
      </c>
    </row>
    <row r="34" spans="1:14" x14ac:dyDescent="0.25">
      <c r="A34" s="8">
        <v>31</v>
      </c>
      <c r="B34" s="9" t="s">
        <v>192</v>
      </c>
      <c r="C34" s="9" t="s">
        <v>230</v>
      </c>
      <c r="D34" s="9" t="s">
        <v>245</v>
      </c>
      <c r="E34" s="8" t="s">
        <v>246</v>
      </c>
      <c r="F34" s="9" t="s">
        <v>247</v>
      </c>
      <c r="G34" s="9" t="s">
        <v>248</v>
      </c>
      <c r="H34" s="9" t="s">
        <v>249</v>
      </c>
      <c r="I34" s="10" t="s">
        <v>250</v>
      </c>
      <c r="J34" s="9" t="s">
        <v>251</v>
      </c>
      <c r="K34" s="9" t="s">
        <v>252</v>
      </c>
      <c r="L34" s="9" t="s">
        <v>253</v>
      </c>
      <c r="M34" s="9" t="s">
        <v>56</v>
      </c>
      <c r="N34" s="11" t="s">
        <v>28</v>
      </c>
    </row>
    <row r="35" spans="1:14" x14ac:dyDescent="0.25">
      <c r="A35" s="8">
        <v>32</v>
      </c>
      <c r="B35" s="9" t="s">
        <v>192</v>
      </c>
      <c r="C35" s="9" t="s">
        <v>230</v>
      </c>
      <c r="D35" s="9" t="s">
        <v>254</v>
      </c>
      <c r="E35" s="8" t="s">
        <v>246</v>
      </c>
      <c r="F35" s="9" t="s">
        <v>247</v>
      </c>
      <c r="G35" s="9" t="s">
        <v>255</v>
      </c>
      <c r="H35" s="9" t="s">
        <v>256</v>
      </c>
      <c r="I35" s="10" t="s">
        <v>257</v>
      </c>
      <c r="J35" s="9" t="s">
        <v>258</v>
      </c>
      <c r="K35" s="9" t="s">
        <v>259</v>
      </c>
      <c r="L35" s="9" t="s">
        <v>260</v>
      </c>
      <c r="M35" s="9" t="s">
        <v>56</v>
      </c>
      <c r="N35" s="11" t="s">
        <v>28</v>
      </c>
    </row>
    <row r="36" spans="1:14" x14ac:dyDescent="0.25">
      <c r="A36" s="8">
        <v>33</v>
      </c>
      <c r="B36" s="9" t="s">
        <v>192</v>
      </c>
      <c r="C36" s="9" t="s">
        <v>230</v>
      </c>
      <c r="D36" s="9" t="s">
        <v>261</v>
      </c>
      <c r="E36" s="8" t="s">
        <v>262</v>
      </c>
      <c r="F36" s="9" t="s">
        <v>230</v>
      </c>
      <c r="G36" s="9" t="s">
        <v>263</v>
      </c>
      <c r="H36" s="9" t="s">
        <v>264</v>
      </c>
      <c r="I36" s="10" t="s">
        <v>265</v>
      </c>
      <c r="J36" s="9" t="s">
        <v>266</v>
      </c>
      <c r="K36" s="9" t="s">
        <v>267</v>
      </c>
      <c r="L36" s="9" t="s">
        <v>268</v>
      </c>
      <c r="M36" s="9" t="s">
        <v>56</v>
      </c>
      <c r="N36" s="11" t="s">
        <v>28</v>
      </c>
    </row>
    <row r="37" spans="1:14" x14ac:dyDescent="0.25">
      <c r="A37" s="8">
        <v>34</v>
      </c>
      <c r="B37" s="9" t="s">
        <v>192</v>
      </c>
      <c r="C37" s="9" t="s">
        <v>269</v>
      </c>
      <c r="D37" s="9" t="s">
        <v>270</v>
      </c>
      <c r="E37" s="8" t="s">
        <v>271</v>
      </c>
      <c r="F37" s="9" t="s">
        <v>272</v>
      </c>
      <c r="G37" s="9" t="s">
        <v>273</v>
      </c>
      <c r="H37" s="9" t="s">
        <v>274</v>
      </c>
      <c r="I37" s="10" t="s">
        <v>275</v>
      </c>
      <c r="J37" s="9" t="s">
        <v>276</v>
      </c>
      <c r="K37" s="9" t="s">
        <v>277</v>
      </c>
      <c r="L37" s="9" t="s">
        <v>278</v>
      </c>
      <c r="M37" s="9" t="s">
        <v>56</v>
      </c>
      <c r="N37" s="11" t="s">
        <v>28</v>
      </c>
    </row>
    <row r="38" spans="1:14" x14ac:dyDescent="0.25">
      <c r="A38" s="8">
        <v>35</v>
      </c>
      <c r="B38" s="9" t="s">
        <v>192</v>
      </c>
      <c r="C38" s="9" t="s">
        <v>269</v>
      </c>
      <c r="D38" s="9" t="s">
        <v>159</v>
      </c>
      <c r="E38" s="8" t="s">
        <v>271</v>
      </c>
      <c r="F38" s="9" t="s">
        <v>272</v>
      </c>
      <c r="G38" s="9" t="s">
        <v>279</v>
      </c>
      <c r="H38" s="9" t="s">
        <v>280</v>
      </c>
      <c r="I38" s="10" t="s">
        <v>281</v>
      </c>
      <c r="J38" s="9" t="s">
        <v>282</v>
      </c>
      <c r="K38" s="9" t="s">
        <v>283</v>
      </c>
      <c r="L38" s="9" t="s">
        <v>284</v>
      </c>
      <c r="M38" s="9" t="s">
        <v>56</v>
      </c>
      <c r="N38" s="11" t="s">
        <v>28</v>
      </c>
    </row>
    <row r="39" spans="1:14" x14ac:dyDescent="0.25">
      <c r="A39" s="8">
        <v>36</v>
      </c>
      <c r="B39" s="9" t="s">
        <v>192</v>
      </c>
      <c r="C39" s="9" t="s">
        <v>269</v>
      </c>
      <c r="D39" s="9" t="s">
        <v>285</v>
      </c>
      <c r="E39" s="8" t="s">
        <v>271</v>
      </c>
      <c r="F39" s="9" t="s">
        <v>272</v>
      </c>
      <c r="G39" s="9" t="s">
        <v>286</v>
      </c>
      <c r="H39" s="9" t="s">
        <v>287</v>
      </c>
      <c r="I39" s="10" t="s">
        <v>288</v>
      </c>
      <c r="J39" s="9" t="s">
        <v>289</v>
      </c>
      <c r="K39" s="9" t="s">
        <v>290</v>
      </c>
      <c r="L39" s="9" t="s">
        <v>291</v>
      </c>
      <c r="M39" s="9" t="s">
        <v>56</v>
      </c>
      <c r="N39" s="11" t="s">
        <v>28</v>
      </c>
    </row>
    <row r="40" spans="1:14" x14ac:dyDescent="0.25">
      <c r="A40" s="8">
        <v>37</v>
      </c>
      <c r="B40" s="9" t="s">
        <v>192</v>
      </c>
      <c r="C40" s="9" t="s">
        <v>269</v>
      </c>
      <c r="D40" s="9" t="s">
        <v>127</v>
      </c>
      <c r="E40" s="8" t="s">
        <v>271</v>
      </c>
      <c r="F40" s="9" t="s">
        <v>272</v>
      </c>
      <c r="G40" s="9" t="s">
        <v>292</v>
      </c>
      <c r="H40" s="9" t="s">
        <v>293</v>
      </c>
      <c r="I40" s="10" t="s">
        <v>294</v>
      </c>
      <c r="J40" s="9" t="s">
        <v>295</v>
      </c>
      <c r="K40" s="9" t="s">
        <v>296</v>
      </c>
      <c r="L40" s="9" t="s">
        <v>297</v>
      </c>
      <c r="M40" s="9" t="s">
        <v>56</v>
      </c>
      <c r="N40" s="11" t="s">
        <v>28</v>
      </c>
    </row>
    <row r="41" spans="1:14" x14ac:dyDescent="0.25">
      <c r="A41" s="8">
        <v>38</v>
      </c>
      <c r="B41" s="9" t="s">
        <v>192</v>
      </c>
      <c r="C41" s="9" t="s">
        <v>298</v>
      </c>
      <c r="D41" s="9" t="s">
        <v>159</v>
      </c>
      <c r="E41" s="8" t="s">
        <v>299</v>
      </c>
      <c r="F41" s="9" t="s">
        <v>300</v>
      </c>
      <c r="G41" s="9" t="s">
        <v>301</v>
      </c>
      <c r="H41" s="9" t="s">
        <v>302</v>
      </c>
      <c r="I41" s="10" t="s">
        <v>303</v>
      </c>
      <c r="J41" s="9" t="s">
        <v>304</v>
      </c>
      <c r="K41" s="9" t="s">
        <v>305</v>
      </c>
      <c r="L41" s="9" t="s">
        <v>306</v>
      </c>
      <c r="M41" s="9" t="s">
        <v>56</v>
      </c>
      <c r="N41" s="11" t="s">
        <v>28</v>
      </c>
    </row>
    <row r="42" spans="1:14" x14ac:dyDescent="0.25">
      <c r="A42" s="8">
        <v>39</v>
      </c>
      <c r="B42" s="9" t="s">
        <v>192</v>
      </c>
      <c r="C42" s="9" t="s">
        <v>298</v>
      </c>
      <c r="D42" s="9" t="s">
        <v>127</v>
      </c>
      <c r="E42" s="8" t="s">
        <v>299</v>
      </c>
      <c r="F42" s="9" t="s">
        <v>300</v>
      </c>
      <c r="G42" s="9" t="s">
        <v>307</v>
      </c>
      <c r="H42" s="9" t="s">
        <v>308</v>
      </c>
      <c r="I42" s="10" t="s">
        <v>309</v>
      </c>
      <c r="J42" s="9" t="s">
        <v>310</v>
      </c>
      <c r="K42" s="9" t="s">
        <v>311</v>
      </c>
      <c r="L42" s="9" t="s">
        <v>312</v>
      </c>
      <c r="M42" s="9" t="s">
        <v>56</v>
      </c>
      <c r="N42" s="11" t="s">
        <v>28</v>
      </c>
    </row>
    <row r="43" spans="1:14" x14ac:dyDescent="0.25">
      <c r="A43" s="8">
        <v>40</v>
      </c>
      <c r="B43" s="9" t="s">
        <v>192</v>
      </c>
      <c r="C43" s="9" t="s">
        <v>313</v>
      </c>
      <c r="D43" s="9" t="s">
        <v>314</v>
      </c>
      <c r="E43" s="8" t="s">
        <v>315</v>
      </c>
      <c r="F43" s="9" t="s">
        <v>313</v>
      </c>
      <c r="G43" s="9" t="s">
        <v>316</v>
      </c>
      <c r="H43" s="9" t="s">
        <v>317</v>
      </c>
      <c r="I43" s="10" t="s">
        <v>318</v>
      </c>
      <c r="J43" s="9" t="s">
        <v>319</v>
      </c>
      <c r="K43" s="9" t="s">
        <v>320</v>
      </c>
      <c r="L43" s="9" t="s">
        <v>321</v>
      </c>
      <c r="M43" s="9" t="s">
        <v>56</v>
      </c>
      <c r="N43" s="11" t="s">
        <v>28</v>
      </c>
    </row>
    <row r="44" spans="1:14" x14ac:dyDescent="0.25">
      <c r="A44" s="8">
        <v>41</v>
      </c>
      <c r="B44" s="9" t="s">
        <v>192</v>
      </c>
      <c r="C44" s="9" t="s">
        <v>313</v>
      </c>
      <c r="D44" s="9" t="s">
        <v>322</v>
      </c>
      <c r="E44" s="8" t="s">
        <v>315</v>
      </c>
      <c r="F44" s="9" t="s">
        <v>313</v>
      </c>
      <c r="G44" s="9" t="s">
        <v>323</v>
      </c>
      <c r="H44" s="9" t="s">
        <v>324</v>
      </c>
      <c r="I44" s="10" t="s">
        <v>325</v>
      </c>
      <c r="J44" s="9" t="s">
        <v>326</v>
      </c>
      <c r="K44" s="9" t="s">
        <v>327</v>
      </c>
      <c r="L44" s="9" t="s">
        <v>328</v>
      </c>
      <c r="M44" s="9" t="s">
        <v>56</v>
      </c>
      <c r="N44" s="11" t="s">
        <v>28</v>
      </c>
    </row>
    <row r="45" spans="1:14" x14ac:dyDescent="0.25">
      <c r="A45" s="8">
        <v>42</v>
      </c>
      <c r="B45" s="9" t="s">
        <v>192</v>
      </c>
      <c r="C45" s="9" t="s">
        <v>313</v>
      </c>
      <c r="D45" s="9" t="s">
        <v>329</v>
      </c>
      <c r="E45" s="8" t="s">
        <v>315</v>
      </c>
      <c r="F45" s="9" t="s">
        <v>313</v>
      </c>
      <c r="G45" s="9" t="s">
        <v>330</v>
      </c>
      <c r="H45" s="9" t="s">
        <v>331</v>
      </c>
      <c r="I45" s="10" t="s">
        <v>332</v>
      </c>
      <c r="J45" s="9" t="s">
        <v>333</v>
      </c>
      <c r="K45" s="9" t="s">
        <v>334</v>
      </c>
      <c r="L45" s="9" t="s">
        <v>335</v>
      </c>
      <c r="M45" s="9" t="s">
        <v>56</v>
      </c>
      <c r="N45" s="11" t="s">
        <v>28</v>
      </c>
    </row>
    <row r="46" spans="1:14" x14ac:dyDescent="0.25">
      <c r="A46" s="8">
        <v>43</v>
      </c>
      <c r="B46" s="9" t="s">
        <v>192</v>
      </c>
      <c r="C46" s="9" t="s">
        <v>313</v>
      </c>
      <c r="D46" s="9" t="s">
        <v>336</v>
      </c>
      <c r="E46" s="8" t="s">
        <v>315</v>
      </c>
      <c r="F46" s="9" t="s">
        <v>313</v>
      </c>
      <c r="G46" s="9" t="s">
        <v>337</v>
      </c>
      <c r="H46" s="9" t="s">
        <v>338</v>
      </c>
      <c r="I46" s="10" t="s">
        <v>339</v>
      </c>
      <c r="J46" s="9" t="s">
        <v>340</v>
      </c>
      <c r="K46" s="9" t="s">
        <v>341</v>
      </c>
      <c r="L46" s="9" t="s">
        <v>342</v>
      </c>
      <c r="M46" s="9" t="s">
        <v>27</v>
      </c>
      <c r="N46" s="11" t="s">
        <v>28</v>
      </c>
    </row>
    <row r="47" spans="1:14" x14ac:dyDescent="0.25">
      <c r="A47" s="8">
        <v>44</v>
      </c>
      <c r="B47" s="9" t="s">
        <v>192</v>
      </c>
      <c r="C47" s="9" t="s">
        <v>343</v>
      </c>
      <c r="D47" s="9" t="s">
        <v>344</v>
      </c>
      <c r="E47" s="8" t="s">
        <v>345</v>
      </c>
      <c r="F47" s="9" t="s">
        <v>346</v>
      </c>
      <c r="G47" s="9" t="s">
        <v>347</v>
      </c>
      <c r="H47" s="9" t="s">
        <v>348</v>
      </c>
      <c r="I47" s="10" t="s">
        <v>349</v>
      </c>
      <c r="J47" s="9" t="s">
        <v>350</v>
      </c>
      <c r="K47" s="9" t="s">
        <v>351</v>
      </c>
      <c r="L47" s="9" t="s">
        <v>352</v>
      </c>
      <c r="M47" s="9" t="s">
        <v>56</v>
      </c>
      <c r="N47" s="11" t="s">
        <v>28</v>
      </c>
    </row>
    <row r="48" spans="1:14" x14ac:dyDescent="0.25">
      <c r="A48" s="8">
        <v>45</v>
      </c>
      <c r="B48" s="9" t="s">
        <v>192</v>
      </c>
      <c r="C48" s="9" t="s">
        <v>343</v>
      </c>
      <c r="D48" s="9" t="s">
        <v>353</v>
      </c>
      <c r="E48" s="8" t="s">
        <v>345</v>
      </c>
      <c r="F48" s="9" t="s">
        <v>346</v>
      </c>
      <c r="G48" s="9" t="s">
        <v>347</v>
      </c>
      <c r="H48" s="9" t="s">
        <v>354</v>
      </c>
      <c r="I48" s="10" t="s">
        <v>355</v>
      </c>
      <c r="J48" s="9" t="s">
        <v>356</v>
      </c>
      <c r="K48" s="9" t="s">
        <v>357</v>
      </c>
      <c r="L48" s="9" t="s">
        <v>358</v>
      </c>
      <c r="M48" s="9" t="s">
        <v>56</v>
      </c>
      <c r="N48" s="11" t="s">
        <v>28</v>
      </c>
    </row>
    <row r="49" spans="1:14" x14ac:dyDescent="0.25">
      <c r="A49" s="12">
        <v>46</v>
      </c>
      <c r="B49" s="13" t="s">
        <v>359</v>
      </c>
      <c r="C49" s="13" t="s">
        <v>360</v>
      </c>
      <c r="D49" s="13" t="s">
        <v>47</v>
      </c>
      <c r="E49" s="12" t="s">
        <v>361</v>
      </c>
      <c r="F49" s="13" t="s">
        <v>362</v>
      </c>
      <c r="G49" s="13" t="s">
        <v>363</v>
      </c>
      <c r="H49" s="13" t="s">
        <v>364</v>
      </c>
      <c r="I49" s="14" t="s">
        <v>365</v>
      </c>
      <c r="J49" s="13" t="s">
        <v>366</v>
      </c>
      <c r="K49" s="13" t="s">
        <v>367</v>
      </c>
      <c r="L49" s="13" t="s">
        <v>368</v>
      </c>
      <c r="M49" s="13" t="s">
        <v>56</v>
      </c>
      <c r="N49" s="15" t="s">
        <v>28</v>
      </c>
    </row>
    <row r="50" spans="1:14" x14ac:dyDescent="0.25">
      <c r="A50" s="12">
        <v>47</v>
      </c>
      <c r="B50" s="13" t="s">
        <v>359</v>
      </c>
      <c r="C50" s="13" t="s">
        <v>369</v>
      </c>
      <c r="D50" s="13" t="s">
        <v>314</v>
      </c>
      <c r="E50" s="12" t="s">
        <v>370</v>
      </c>
      <c r="F50" s="13" t="s">
        <v>371</v>
      </c>
      <c r="G50" s="13" t="s">
        <v>372</v>
      </c>
      <c r="H50" s="13" t="s">
        <v>373</v>
      </c>
      <c r="I50" s="14" t="s">
        <v>374</v>
      </c>
      <c r="J50" s="13" t="s">
        <v>375</v>
      </c>
      <c r="K50" s="13" t="s">
        <v>376</v>
      </c>
      <c r="L50" s="13" t="s">
        <v>377</v>
      </c>
      <c r="M50" s="13" t="s">
        <v>56</v>
      </c>
      <c r="N50" s="15" t="s">
        <v>28</v>
      </c>
    </row>
    <row r="51" spans="1:14" x14ac:dyDescent="0.25">
      <c r="A51" s="12">
        <v>48</v>
      </c>
      <c r="B51" s="13" t="s">
        <v>359</v>
      </c>
      <c r="C51" s="13" t="s">
        <v>369</v>
      </c>
      <c r="D51" s="13" t="s">
        <v>139</v>
      </c>
      <c r="E51" s="12" t="s">
        <v>370</v>
      </c>
      <c r="F51" s="13" t="s">
        <v>371</v>
      </c>
      <c r="G51" s="13" t="s">
        <v>378</v>
      </c>
      <c r="H51" s="13" t="s">
        <v>379</v>
      </c>
      <c r="I51" s="14" t="s">
        <v>380</v>
      </c>
      <c r="J51" s="13" t="s">
        <v>381</v>
      </c>
      <c r="K51" s="13" t="s">
        <v>382</v>
      </c>
      <c r="L51" s="13" t="s">
        <v>383</v>
      </c>
      <c r="M51" s="13" t="s">
        <v>56</v>
      </c>
      <c r="N51" s="15" t="s">
        <v>28</v>
      </c>
    </row>
    <row r="52" spans="1:14" x14ac:dyDescent="0.25">
      <c r="A52" s="12">
        <v>49</v>
      </c>
      <c r="B52" s="13" t="s">
        <v>359</v>
      </c>
      <c r="C52" s="13" t="s">
        <v>384</v>
      </c>
      <c r="D52" s="13" t="s">
        <v>159</v>
      </c>
      <c r="E52" s="12" t="s">
        <v>385</v>
      </c>
      <c r="F52" s="13" t="s">
        <v>386</v>
      </c>
      <c r="G52" s="13" t="s">
        <v>387</v>
      </c>
      <c r="H52" s="13" t="s">
        <v>388</v>
      </c>
      <c r="I52" s="14" t="s">
        <v>389</v>
      </c>
      <c r="J52" s="13" t="s">
        <v>390</v>
      </c>
      <c r="K52" s="13" t="s">
        <v>391</v>
      </c>
      <c r="L52" s="13" t="s">
        <v>392</v>
      </c>
      <c r="M52" s="13" t="s">
        <v>56</v>
      </c>
      <c r="N52" s="15" t="s">
        <v>28</v>
      </c>
    </row>
    <row r="53" spans="1:14" x14ac:dyDescent="0.25">
      <c r="A53" s="12">
        <v>50</v>
      </c>
      <c r="B53" s="13" t="s">
        <v>359</v>
      </c>
      <c r="C53" s="13" t="s">
        <v>393</v>
      </c>
      <c r="D53" s="13" t="s">
        <v>127</v>
      </c>
      <c r="E53" s="12" t="s">
        <v>394</v>
      </c>
      <c r="F53" s="13" t="s">
        <v>362</v>
      </c>
      <c r="G53" s="13" t="s">
        <v>395</v>
      </c>
      <c r="H53" s="13" t="s">
        <v>396</v>
      </c>
      <c r="I53" s="14" t="s">
        <v>397</v>
      </c>
      <c r="J53" s="13" t="s">
        <v>398</v>
      </c>
      <c r="K53" s="13" t="s">
        <v>399</v>
      </c>
      <c r="L53" s="13" t="s">
        <v>400</v>
      </c>
      <c r="M53" s="13" t="s">
        <v>56</v>
      </c>
      <c r="N53" s="15" t="s">
        <v>28</v>
      </c>
    </row>
    <row r="54" spans="1:14" x14ac:dyDescent="0.25">
      <c r="A54" s="12">
        <v>51</v>
      </c>
      <c r="B54" s="13" t="s">
        <v>359</v>
      </c>
      <c r="C54" s="13" t="s">
        <v>401</v>
      </c>
      <c r="D54" s="13" t="s">
        <v>402</v>
      </c>
      <c r="E54" s="12" t="s">
        <v>394</v>
      </c>
      <c r="F54" s="13" t="s">
        <v>362</v>
      </c>
      <c r="G54" s="13" t="s">
        <v>403</v>
      </c>
      <c r="H54" s="13" t="s">
        <v>404</v>
      </c>
      <c r="I54" s="14" t="s">
        <v>405</v>
      </c>
      <c r="J54" s="13" t="s">
        <v>406</v>
      </c>
      <c r="K54" s="13" t="s">
        <v>407</v>
      </c>
      <c r="L54" s="13" t="s">
        <v>408</v>
      </c>
      <c r="M54" s="13" t="s">
        <v>27</v>
      </c>
      <c r="N54" s="15" t="s">
        <v>28</v>
      </c>
    </row>
    <row r="55" spans="1:14" x14ac:dyDescent="0.25">
      <c r="A55" s="16">
        <v>52</v>
      </c>
      <c r="B55" s="17" t="s">
        <v>409</v>
      </c>
      <c r="C55" s="17" t="s">
        <v>410</v>
      </c>
      <c r="D55" s="17" t="s">
        <v>411</v>
      </c>
      <c r="E55" s="16" t="s">
        <v>412</v>
      </c>
      <c r="F55" s="17" t="s">
        <v>413</v>
      </c>
      <c r="G55" s="17" t="s">
        <v>414</v>
      </c>
      <c r="H55" s="17" t="s">
        <v>415</v>
      </c>
      <c r="I55" s="18" t="s">
        <v>416</v>
      </c>
      <c r="J55" s="17" t="s">
        <v>417</v>
      </c>
      <c r="K55" s="17" t="s">
        <v>418</v>
      </c>
      <c r="L55" s="17" t="s">
        <v>419</v>
      </c>
      <c r="M55" s="17" t="s">
        <v>56</v>
      </c>
      <c r="N55" s="19" t="s">
        <v>28</v>
      </c>
    </row>
    <row r="56" spans="1:14" x14ac:dyDescent="0.25">
      <c r="A56" s="16">
        <v>53</v>
      </c>
      <c r="B56" s="17" t="s">
        <v>409</v>
      </c>
      <c r="C56" s="17" t="s">
        <v>410</v>
      </c>
      <c r="D56" s="17" t="s">
        <v>420</v>
      </c>
      <c r="E56" s="16" t="s">
        <v>412</v>
      </c>
      <c r="F56" s="17" t="s">
        <v>421</v>
      </c>
      <c r="G56" s="17" t="s">
        <v>422</v>
      </c>
      <c r="H56" s="17" t="s">
        <v>423</v>
      </c>
      <c r="I56" s="18" t="s">
        <v>424</v>
      </c>
      <c r="J56" s="17" t="s">
        <v>425</v>
      </c>
      <c r="K56" s="17" t="s">
        <v>426</v>
      </c>
      <c r="L56" s="17" t="s">
        <v>427</v>
      </c>
      <c r="M56" s="17" t="s">
        <v>27</v>
      </c>
      <c r="N56" s="19" t="s">
        <v>28</v>
      </c>
    </row>
    <row r="57" spans="1:14" x14ac:dyDescent="0.25">
      <c r="A57" s="16">
        <v>54</v>
      </c>
      <c r="B57" s="17" t="s">
        <v>409</v>
      </c>
      <c r="C57" s="17" t="s">
        <v>410</v>
      </c>
      <c r="D57" s="17" t="s">
        <v>428</v>
      </c>
      <c r="E57" s="16" t="s">
        <v>412</v>
      </c>
      <c r="F57" s="17" t="s">
        <v>413</v>
      </c>
      <c r="G57" s="17" t="s">
        <v>429</v>
      </c>
      <c r="H57" s="17" t="s">
        <v>430</v>
      </c>
      <c r="I57" s="18" t="s">
        <v>431</v>
      </c>
      <c r="J57" s="17" t="s">
        <v>432</v>
      </c>
      <c r="K57" s="17" t="s">
        <v>433</v>
      </c>
      <c r="L57" s="17" t="s">
        <v>434</v>
      </c>
      <c r="M57" s="17" t="s">
        <v>27</v>
      </c>
      <c r="N57" s="19" t="s">
        <v>28</v>
      </c>
    </row>
    <row r="58" spans="1:14" x14ac:dyDescent="0.25">
      <c r="A58" s="20">
        <v>55</v>
      </c>
      <c r="B58" s="21" t="s">
        <v>435</v>
      </c>
      <c r="C58" s="21" t="s">
        <v>436</v>
      </c>
      <c r="D58" s="21" t="s">
        <v>159</v>
      </c>
      <c r="E58" s="20" t="s">
        <v>437</v>
      </c>
      <c r="F58" s="21" t="s">
        <v>438</v>
      </c>
      <c r="G58" s="21" t="s">
        <v>439</v>
      </c>
      <c r="H58" s="21" t="s">
        <v>440</v>
      </c>
      <c r="I58" s="22" t="s">
        <v>441</v>
      </c>
      <c r="J58" s="21" t="s">
        <v>442</v>
      </c>
      <c r="K58" s="21" t="s">
        <v>443</v>
      </c>
      <c r="L58" s="21" t="s">
        <v>444</v>
      </c>
      <c r="M58" s="21" t="s">
        <v>27</v>
      </c>
      <c r="N58" s="23" t="s">
        <v>28</v>
      </c>
    </row>
    <row r="59" spans="1:14" x14ac:dyDescent="0.25">
      <c r="A59" s="20">
        <v>56</v>
      </c>
      <c r="B59" s="21" t="s">
        <v>435</v>
      </c>
      <c r="C59" s="21" t="s">
        <v>445</v>
      </c>
      <c r="D59" s="21" t="s">
        <v>159</v>
      </c>
      <c r="E59" s="20" t="s">
        <v>446</v>
      </c>
      <c r="F59" s="21" t="s">
        <v>447</v>
      </c>
      <c r="G59" s="21" t="s">
        <v>448</v>
      </c>
      <c r="H59" s="21" t="s">
        <v>449</v>
      </c>
      <c r="I59" s="22" t="s">
        <v>450</v>
      </c>
      <c r="J59" s="21" t="s">
        <v>451</v>
      </c>
      <c r="K59" s="21" t="s">
        <v>452</v>
      </c>
      <c r="L59" s="21" t="s">
        <v>453</v>
      </c>
      <c r="M59" s="21" t="s">
        <v>27</v>
      </c>
      <c r="N59" s="23" t="s">
        <v>28</v>
      </c>
    </row>
    <row r="60" spans="1:14" x14ac:dyDescent="0.25">
      <c r="A60" s="20">
        <v>57</v>
      </c>
      <c r="B60" s="21" t="s">
        <v>435</v>
      </c>
      <c r="C60" s="21" t="s">
        <v>445</v>
      </c>
      <c r="D60" s="21" t="s">
        <v>127</v>
      </c>
      <c r="E60" s="20" t="s">
        <v>446</v>
      </c>
      <c r="F60" s="21" t="s">
        <v>447</v>
      </c>
      <c r="G60" s="21" t="s">
        <v>454</v>
      </c>
      <c r="H60" s="21" t="s">
        <v>455</v>
      </c>
      <c r="I60" s="22" t="s">
        <v>456</v>
      </c>
      <c r="J60" s="21" t="s">
        <v>457</v>
      </c>
      <c r="K60" s="21" t="s">
        <v>458</v>
      </c>
      <c r="L60" s="21" t="s">
        <v>459</v>
      </c>
      <c r="M60" s="21" t="s">
        <v>27</v>
      </c>
      <c r="N60" s="23" t="s">
        <v>28</v>
      </c>
    </row>
    <row r="61" spans="1:14" x14ac:dyDescent="0.25">
      <c r="A61" s="24">
        <v>58</v>
      </c>
      <c r="B61" s="25" t="s">
        <v>460</v>
      </c>
      <c r="C61" s="25" t="s">
        <v>461</v>
      </c>
      <c r="D61" s="25" t="s">
        <v>159</v>
      </c>
      <c r="E61" s="24" t="s">
        <v>462</v>
      </c>
      <c r="F61" s="25" t="s">
        <v>463</v>
      </c>
      <c r="G61" s="25" t="s">
        <v>464</v>
      </c>
      <c r="H61" s="25" t="s">
        <v>465</v>
      </c>
      <c r="I61" s="26" t="s">
        <v>466</v>
      </c>
      <c r="J61" s="25" t="s">
        <v>467</v>
      </c>
      <c r="K61" s="25" t="s">
        <v>468</v>
      </c>
      <c r="L61" s="25" t="s">
        <v>469</v>
      </c>
      <c r="M61" s="25" t="s">
        <v>27</v>
      </c>
      <c r="N61" s="27" t="s">
        <v>28</v>
      </c>
    </row>
    <row r="62" spans="1:14" x14ac:dyDescent="0.25">
      <c r="A62" s="28">
        <v>59</v>
      </c>
      <c r="B62" s="29" t="s">
        <v>470</v>
      </c>
      <c r="C62" s="29" t="s">
        <v>471</v>
      </c>
      <c r="D62" s="29" t="s">
        <v>472</v>
      </c>
      <c r="E62" s="28" t="s">
        <v>473</v>
      </c>
      <c r="F62" s="29" t="s">
        <v>230</v>
      </c>
      <c r="G62" s="29" t="s">
        <v>474</v>
      </c>
      <c r="H62" s="29" t="s">
        <v>475</v>
      </c>
      <c r="I62" s="30" t="s">
        <v>476</v>
      </c>
      <c r="J62" s="29" t="s">
        <v>477</v>
      </c>
      <c r="K62" s="29" t="s">
        <v>478</v>
      </c>
      <c r="L62" s="29" t="s">
        <v>479</v>
      </c>
      <c r="M62" s="29" t="s">
        <v>27</v>
      </c>
      <c r="N62" s="31" t="s">
        <v>28</v>
      </c>
    </row>
    <row r="63" spans="1:14" x14ac:dyDescent="0.25">
      <c r="A63" s="28">
        <v>60</v>
      </c>
      <c r="B63" s="29" t="s">
        <v>470</v>
      </c>
      <c r="C63" s="29" t="s">
        <v>480</v>
      </c>
      <c r="D63" s="29" t="s">
        <v>481</v>
      </c>
      <c r="E63" s="28" t="s">
        <v>482</v>
      </c>
      <c r="F63" s="29" t="s">
        <v>483</v>
      </c>
      <c r="G63" s="29" t="s">
        <v>484</v>
      </c>
      <c r="H63" s="29" t="s">
        <v>485</v>
      </c>
      <c r="I63" s="30" t="s">
        <v>486</v>
      </c>
      <c r="J63" s="29" t="s">
        <v>487</v>
      </c>
      <c r="K63" s="29" t="s">
        <v>488</v>
      </c>
      <c r="L63" s="29" t="s">
        <v>489</v>
      </c>
      <c r="M63" s="29" t="s">
        <v>27</v>
      </c>
      <c r="N63" s="31" t="s">
        <v>28</v>
      </c>
    </row>
    <row r="64" spans="1:14" x14ac:dyDescent="0.25">
      <c r="A64" s="28">
        <v>61</v>
      </c>
      <c r="B64" s="29" t="s">
        <v>470</v>
      </c>
      <c r="C64" s="29" t="s">
        <v>490</v>
      </c>
      <c r="D64" s="29" t="s">
        <v>491</v>
      </c>
      <c r="E64" s="28" t="s">
        <v>492</v>
      </c>
      <c r="F64" s="29" t="s">
        <v>493</v>
      </c>
      <c r="G64" s="29" t="s">
        <v>494</v>
      </c>
      <c r="H64" s="29" t="s">
        <v>495</v>
      </c>
      <c r="I64" s="30" t="s">
        <v>496</v>
      </c>
      <c r="J64" s="29" t="s">
        <v>497</v>
      </c>
      <c r="K64" s="29" t="s">
        <v>498</v>
      </c>
      <c r="L64" s="29" t="s">
        <v>499</v>
      </c>
      <c r="M64" s="29" t="s">
        <v>27</v>
      </c>
      <c r="N64" s="31" t="s">
        <v>28</v>
      </c>
    </row>
    <row r="65" spans="1:14" x14ac:dyDescent="0.25">
      <c r="A65" s="28">
        <v>62</v>
      </c>
      <c r="B65" s="29" t="s">
        <v>470</v>
      </c>
      <c r="C65" s="29" t="s">
        <v>500</v>
      </c>
      <c r="D65" s="29" t="s">
        <v>501</v>
      </c>
      <c r="E65" s="28" t="s">
        <v>502</v>
      </c>
      <c r="F65" s="29" t="s">
        <v>493</v>
      </c>
      <c r="G65" s="29" t="s">
        <v>503</v>
      </c>
      <c r="H65" s="29" t="s">
        <v>504</v>
      </c>
      <c r="I65" s="30" t="s">
        <v>505</v>
      </c>
      <c r="J65" s="29" t="s">
        <v>506</v>
      </c>
      <c r="K65" s="29" t="s">
        <v>507</v>
      </c>
      <c r="L65" s="29" t="s">
        <v>508</v>
      </c>
      <c r="M65" s="29" t="s">
        <v>509</v>
      </c>
      <c r="N65" s="31" t="s">
        <v>28</v>
      </c>
    </row>
    <row r="66" spans="1:14" x14ac:dyDescent="0.25">
      <c r="A66" s="28">
        <v>63</v>
      </c>
      <c r="B66" s="29" t="s">
        <v>470</v>
      </c>
      <c r="C66" s="29" t="s">
        <v>510</v>
      </c>
      <c r="D66" s="29" t="s">
        <v>511</v>
      </c>
      <c r="E66" s="28" t="s">
        <v>512</v>
      </c>
      <c r="F66" s="29" t="s">
        <v>513</v>
      </c>
      <c r="G66" s="29" t="s">
        <v>514</v>
      </c>
      <c r="H66" s="29" t="s">
        <v>515</v>
      </c>
      <c r="I66" s="30" t="s">
        <v>516</v>
      </c>
      <c r="J66" s="29" t="s">
        <v>517</v>
      </c>
      <c r="K66" s="29" t="s">
        <v>518</v>
      </c>
      <c r="L66" s="29" t="s">
        <v>519</v>
      </c>
      <c r="M66" s="29" t="s">
        <v>27</v>
      </c>
      <c r="N66" s="31" t="s">
        <v>28</v>
      </c>
    </row>
    <row r="67" spans="1:14" x14ac:dyDescent="0.25">
      <c r="A67" s="28">
        <v>64</v>
      </c>
      <c r="B67" s="29" t="s">
        <v>470</v>
      </c>
      <c r="C67" s="29" t="s">
        <v>139</v>
      </c>
      <c r="D67" s="29" t="s">
        <v>520</v>
      </c>
      <c r="E67" s="28" t="s">
        <v>521</v>
      </c>
      <c r="F67" s="29" t="s">
        <v>522</v>
      </c>
      <c r="G67" s="29" t="s">
        <v>523</v>
      </c>
      <c r="H67" s="29" t="s">
        <v>524</v>
      </c>
      <c r="I67" s="30" t="s">
        <v>525</v>
      </c>
      <c r="J67" s="29" t="s">
        <v>526</v>
      </c>
      <c r="K67" s="29" t="s">
        <v>527</v>
      </c>
      <c r="L67" s="29" t="s">
        <v>183</v>
      </c>
      <c r="M67" s="29" t="s">
        <v>27</v>
      </c>
      <c r="N67" s="31" t="s">
        <v>28</v>
      </c>
    </row>
  </sheetData>
  <autoFilter ref="A3:N67"/>
  <mergeCells count="2">
    <mergeCell ref="A1:N1"/>
    <mergeCell ref="A2:N2"/>
  </mergeCells>
  <dataValidations count="2">
    <dataValidation type="list" allowBlank="1" sqref="N10:N67">
      <formula1>"Pass,Fail,Blocked,Not Executed"</formula1>
    </dataValidation>
    <dataValidation type="list" allowBlank="1" sqref="N4:N67">
      <formula1>"Pass,Fail,Blocked,Not Executed"</formula1>
    </dataValidation>
  </dataValidation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FormatPr defaultRowHeight="15" outlineLevelRow="0" outlineLevelCol="0" x14ac:dyDescent="55"/>
  <cols>
    <col min="1" max="1" width="24" customWidth="1"/>
    <col min="2" max="2" width="26" customWidth="1"/>
    <col min="3" max="3" width="44" customWidth="1"/>
  </cols>
  <sheetData>
    <row r="1" ht="26" customHeight="1" spans="1:3" x14ac:dyDescent="0.25">
      <c r="A1" s="32" t="s">
        <v>528</v>
      </c>
      <c r="B1" s="32"/>
      <c r="C1" s="32"/>
    </row>
    <row r="3" spans="1:3" x14ac:dyDescent="0.25">
      <c r="A3" s="33" t="s">
        <v>3</v>
      </c>
      <c r="B3" s="33" t="s">
        <v>529</v>
      </c>
      <c r="C3" s="33" t="s">
        <v>530</v>
      </c>
    </row>
    <row r="4" spans="1:3" x14ac:dyDescent="0.25">
      <c r="A4" s="34" t="s">
        <v>16</v>
      </c>
      <c r="B4" s="34">
        <f>COUNTIF('Test Report'!B4:B67,"Authentication")</f>
      </c>
      <c r="C4" s="34">
        <f>COUNTIFS('Test Report'!B4:B67,"Authentication",'Test Report'!N4:N67,"Pass")&amp;" Pass / "&amp;COUNTIFS('Test Report'!B4:B67,"Authentication",'Test Report'!N4:N67,"Fail")&amp;" Fail"</f>
      </c>
    </row>
    <row r="5" spans="1:3" x14ac:dyDescent="0.25">
      <c r="A5" s="34" t="s">
        <v>192</v>
      </c>
      <c r="B5" s="34">
        <f>COUNTIF('Test Report'!B4:B67,"Bus Booking")</f>
      </c>
      <c r="C5" s="34">
        <f>COUNTIFS('Test Report'!B4:B67,"Bus Booking",'Test Report'!N4:N67,"Pass")&amp;" Pass / "&amp;COUNTIFS('Test Report'!B4:B67,"Bus Booking",'Test Report'!N4:N67,"Fail")&amp;" Fail"</f>
      </c>
    </row>
    <row r="6" spans="1:3" x14ac:dyDescent="0.25">
      <c r="A6" s="34" t="s">
        <v>359</v>
      </c>
      <c r="B6" s="34">
        <f>COUNTIF('Test Report'!B4:B67,"Payment")</f>
      </c>
      <c r="C6" s="34">
        <f>COUNTIFS('Test Report'!B4:B67,"Payment",'Test Report'!N4:N67,"Pass")&amp;" Pass / "&amp;COUNTIFS('Test Report'!B4:B67,"Payment",'Test Report'!N4:N67,"Fail")&amp;" Fail"</f>
      </c>
    </row>
    <row r="7" spans="1:3" x14ac:dyDescent="0.25">
      <c r="A7" s="34" t="s">
        <v>409</v>
      </c>
      <c r="B7" s="34">
        <f>COUNTIF('Test Report'!B4:B67,"Booking")</f>
      </c>
      <c r="C7" s="34">
        <f>COUNTIFS('Test Report'!B4:B67,"Booking",'Test Report'!N4:N67,"Pass")&amp;" Pass / "&amp;COUNTIFS('Test Report'!B4:B67,"Booking",'Test Report'!N4:N67,"Fail")&amp;" Fail"</f>
      </c>
    </row>
    <row r="8" spans="1:3" x14ac:dyDescent="0.25">
      <c r="A8" s="34" t="s">
        <v>435</v>
      </c>
      <c r="B8" s="34">
        <f>COUNTIF('Test Report'!B4:B67,"My Bookings")</f>
      </c>
      <c r="C8" s="34">
        <f>COUNTIFS('Test Report'!B4:B67,"My Bookings",'Test Report'!N4:N67,"Pass")&amp;" Pass / "&amp;COUNTIFS('Test Report'!B4:B67,"My Bookings",'Test Report'!N4:N67,"Fail")&amp;" Fail"</f>
      </c>
    </row>
    <row r="9" spans="1:3" x14ac:dyDescent="0.25">
      <c r="A9" s="34" t="s">
        <v>460</v>
      </c>
      <c r="B9" s="34">
        <f>COUNTIF('Test Report'!B4:B67,"Profile")</f>
      </c>
      <c r="C9" s="34">
        <f>COUNTIFS('Test Report'!B4:B67,"Profile",'Test Report'!N4:N67,"Pass")&amp;" Pass / "&amp;COUNTIFS('Test Report'!B4:B67,"Profile",'Test Report'!N4:N67,"Fail")&amp;" Fail"</f>
      </c>
    </row>
    <row r="10" spans="1:3" x14ac:dyDescent="0.25">
      <c r="A10" s="34" t="s">
        <v>470</v>
      </c>
      <c r="B10" s="34">
        <f>COUNTIF('Test Report'!B4:B67,"Non-Functional")</f>
      </c>
      <c r="C10" s="34">
        <f>COUNTIFS('Test Report'!B4:B67,"Non-Functional",'Test Report'!N4:N67,"Pass")&amp;" Pass / "&amp;COUNTIFS('Test Report'!B4:B67,"Non-Functional",'Test Report'!N4:N67,"Fail")&amp;" Fail"</f>
      </c>
    </row>
    <row r="11" spans="1:3" x14ac:dyDescent="0.25">
      <c r="A11" s="35" t="s">
        <v>531</v>
      </c>
      <c r="B11" s="35">
        <f>SUM(B4:B10)</f>
      </c>
      <c r="C11" s="35" t="s">
        <v>532</v>
      </c>
    </row>
    <row r="13" spans="1:3" x14ac:dyDescent="0.25">
      <c r="A13" s="33" t="s">
        <v>533</v>
      </c>
      <c r="B13" s="33" t="s">
        <v>534</v>
      </c>
      <c r="C13" s="33" t="s">
        <v>535</v>
      </c>
    </row>
    <row r="14" spans="1:3" x14ac:dyDescent="0.25">
      <c r="A14" s="34" t="s">
        <v>536</v>
      </c>
      <c r="B14" s="34">
        <f>COUNTIF('Test Report'!N4:N67,"Pass")</f>
      </c>
      <c r="C14" s="34">
        <f>TEXT(COUNTIF('Test Report'!N4:N67,"Pass")/64,"0.0%")</f>
      </c>
    </row>
    <row r="15" spans="1:3" x14ac:dyDescent="0.25">
      <c r="A15" s="34" t="s">
        <v>537</v>
      </c>
      <c r="B15" s="34">
        <f>COUNTIF('Test Report'!N4:N67,"Fail")</f>
      </c>
      <c r="C15" s="34">
        <f>TEXT(COUNTIF('Test Report'!N4:N67,"Fail")/64,"0.0%")</f>
      </c>
    </row>
    <row r="16" spans="1:3" x14ac:dyDescent="0.25">
      <c r="A16" s="34" t="s">
        <v>538</v>
      </c>
      <c r="B16" s="34">
        <f>COUNTIF('Test Report'!N4:N67,"Blocked")</f>
      </c>
      <c r="C16" s="34">
        <f>TEXT(COUNTIF('Test Report'!N4:N67,"Blocked")/64,"0.0%")</f>
      </c>
    </row>
    <row r="17" spans="1:3" x14ac:dyDescent="0.25">
      <c r="A17" s="34" t="s">
        <v>28</v>
      </c>
      <c r="B17" s="34">
        <f>COUNTIF('Test Report'!N4:N67,"Not Executed")</f>
      </c>
      <c r="C17" s="34">
        <f>TEXT(COUNTIF('Test Report'!N4:N67,"Not Executed")/64,"0.0%")</f>
      </c>
    </row>
    <row r="19" ht="46" customHeight="1" spans="1:3" x14ac:dyDescent="0.25">
      <c r="A19" s="36" t="s">
        <v>539</v>
      </c>
      <c r="B19" s="37" t="s">
        <v>540</v>
      </c>
      <c r="C19" s="37"/>
    </row>
  </sheetData>
  <mergeCells count="2">
    <mergeCell ref="A1:C1"/>
    <mergeCell ref="B19:C1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Report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 Team</dc:creator>
  <dc:title/>
  <dc:subject/>
  <dc:description/>
  <cp:keywords/>
  <cp:category/>
  <cp:lastModifiedBy>Unknown</cp:lastModifiedBy>
  <dcterms:created xsi:type="dcterms:W3CDTF">2026-08-27T11:39:05Z</dcterms:created>
  <dcterms:modified xsi:type="dcterms:W3CDTF">2026-08-27T11:39:05Z</dcterms:modified>
</cp:coreProperties>
</file>